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Item Database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9">
    <font>
      <name val="Calibri"/>
      <family val="2"/>
      <color theme="1"/>
      <sz val="11"/>
      <scheme val="minor"/>
    </font>
    <font>
      <name val="Calibri"/>
      <b val="1"/>
      <color rgb="000D3B24"/>
      <sz val="20"/>
    </font>
    <font>
      <name val="Calibri"/>
      <i val="1"/>
      <color rgb="006B7280"/>
      <sz val="11"/>
    </font>
    <font>
      <name val="Calibri"/>
      <b val="1"/>
      <color rgb="00FFFFFF"/>
      <sz val="11"/>
    </font>
    <font>
      <name val="Calibri"/>
      <b val="1"/>
      <color rgb="000000FF"/>
      <sz val="11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color rgb="000D3B24"/>
      <sz val="10"/>
    </font>
    <font>
      <name val="Calibri"/>
      <b val="1"/>
      <color rgb="000D3B24"/>
      <sz val="11"/>
    </font>
    <font>
      <name val="Calibri"/>
      <b val="1"/>
      <color rgb="006B7280"/>
      <sz val="10"/>
    </font>
    <font>
      <name val="Calibri"/>
      <b val="1"/>
      <color rgb="000000FF"/>
      <sz val="10"/>
    </font>
    <font>
      <name val="Calibri"/>
      <b val="1"/>
      <color rgb="00000000"/>
      <sz val="10"/>
    </font>
    <font>
      <name val="Calibri"/>
      <b val="1"/>
      <color rgb="000D3B24"/>
      <sz val="18"/>
    </font>
    <font>
      <name val="Calibri"/>
      <sz val="10"/>
    </font>
    <font>
      <name val="Calibri"/>
      <sz val="11"/>
    </font>
    <font>
      <name val="Calibri"/>
      <b val="1"/>
      <color rgb="000D3B24"/>
      <sz val="12"/>
    </font>
    <font>
      <name val="Calibri"/>
      <b val="1"/>
      <sz val="11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3F6B3A"/>
      </patternFill>
    </fill>
    <fill>
      <patternFill patternType="solid">
        <fgColor rgb="000D3B24"/>
      </patternFill>
    </fill>
    <fill>
      <patternFill patternType="solid">
        <fgColor rgb="00F4F1E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2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3" fillId="3" borderId="0" pivotButton="0" quotePrefix="0" xfId="0"/>
    <xf numFmtId="0" fontId="0" fillId="3" borderId="0" pivotButton="0" quotePrefix="0" xfId="0"/>
    <xf numFmtId="164" fontId="3" fillId="3" borderId="1" applyAlignment="1" pivotButton="0" quotePrefix="0" xfId="0">
      <alignment horizontal="right"/>
    </xf>
    <xf numFmtId="3" fontId="9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8" fillId="0" borderId="0" pivotButton="0" quotePrefix="0" xfId="0"/>
    <xf numFmtId="0" fontId="13" fillId="0" borderId="0" pivotButton="0" quotePrefix="0" xfId="0"/>
    <xf numFmtId="0" fontId="14" fillId="0" borderId="1" pivotButton="0" quotePrefix="0" xfId="0"/>
    <xf numFmtId="164" fontId="14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0" fontId="14" fillId="4" borderId="1" pivotButton="0" quotePrefix="0" xfId="0"/>
    <xf numFmtId="164" fontId="14" fillId="4" borderId="1" applyAlignment="1" pivotButton="0" quotePrefix="0" xfId="0">
      <alignment horizontal="right"/>
    </xf>
    <xf numFmtId="164" fontId="8" fillId="4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15" fillId="0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18" customWidth="1" min="5" max="5"/>
    <col width="15" customWidth="1" min="6" max="6"/>
    <col width="16" customWidth="1" min="7" max="7"/>
    <col width="18" customWidth="1" min="8" max="8"/>
    <col width="18" customWidth="1" min="9" max="9"/>
    <col width="15" customWidth="1" min="10" max="10"/>
  </cols>
  <sheetData>
    <row r="1" ht="32" customHeight="1">
      <c r="A1" s="1" t="inlineStr">
        <is>
          <t>TruCycle Carbon Impact Calculator</t>
        </is>
      </c>
    </row>
    <row r="2">
      <c r="A2" s="2" t="inlineStr">
        <is>
          <t>Test carbon savings for sample transactions — based on DEFRA 2025 / WRAP CarbonWARM2 / PAS 2050</t>
        </is>
      </c>
    </row>
    <row r="4">
      <c r="A4" s="3" t="inlineStr">
        <is>
          <t>GLOBAL ASSUMPTIONS</t>
        </is>
      </c>
    </row>
    <row r="5">
      <c r="A5" t="inlineStr">
        <is>
          <t>Substitution rate</t>
        </is>
      </c>
      <c r="B5" s="4" t="n">
        <v>0.6</v>
      </c>
      <c r="C5" s="5" t="inlineStr">
        <is>
          <t>Conservative — accounts for imperfect substitution (peer-reviewed reuse studies)</t>
        </is>
      </c>
    </row>
    <row r="6">
      <c r="A6" t="inlineStr">
        <is>
          <t>Collection emissions per trip (kg CO2e)</t>
        </is>
      </c>
      <c r="B6" s="4" t="n">
        <v>1.4</v>
      </c>
      <c r="C6" s="5" t="inlineStr">
        <is>
          <t>DEFRA freight factor × 5-mile typical van trip</t>
        </is>
      </c>
    </row>
    <row r="7">
      <c r="A7" t="inlineStr">
        <is>
          <t>Carbon points per kg CO2e</t>
        </is>
      </c>
      <c r="B7" s="4" t="n">
        <v>1</v>
      </c>
      <c r="C7" s="5" t="inlineStr">
        <is>
          <t>1:1 transparent ratio — 1 point = 1 kg CO2e saved</t>
        </is>
      </c>
    </row>
    <row r="9">
      <c r="A9" s="3" t="inlineStr">
        <is>
          <t>SAMPLE TRANSACTIONS</t>
        </is>
      </c>
    </row>
    <row r="10" ht="38" customHeight="1">
      <c r="A10" s="6" t="inlineStr">
        <is>
          <t>Item</t>
        </is>
      </c>
      <c r="B10" s="6" t="inlineStr">
        <is>
          <t>Weight (kg)</t>
        </is>
      </c>
      <c r="C10" s="6" t="inlineStr">
        <is>
          <t>Embodied CO2e/kg</t>
        </is>
      </c>
      <c r="D10" s="6" t="inlineStr">
        <is>
          <t>Landfill CO2e/kg</t>
        </is>
      </c>
      <c r="E10" s="6" t="inlineStr">
        <is>
          <t>Action type</t>
        </is>
      </c>
      <c r="F10" s="6" t="inlineStr">
        <is>
          <t>Action multiplier</t>
        </is>
      </c>
      <c r="G10" s="6" t="inlineStr">
        <is>
          <t>Gross saving (kg)</t>
        </is>
      </c>
      <c r="H10" s="6" t="inlineStr">
        <is>
          <t>Less collection (kg)</t>
        </is>
      </c>
      <c r="I10" s="6" t="inlineStr">
        <is>
          <t>Net CO2e saved (kg)</t>
        </is>
      </c>
      <c r="J10" s="6" t="inlineStr">
        <is>
          <t>Carbon points</t>
        </is>
      </c>
    </row>
    <row r="11">
      <c r="A11" s="7" t="inlineStr">
        <is>
          <t>Sofa — 3-seater</t>
        </is>
      </c>
      <c r="B11" s="8" t="n">
        <v>55</v>
      </c>
      <c r="C11" s="8" t="n">
        <v>5</v>
      </c>
      <c r="D11" s="9" t="n">
        <v>0.497</v>
      </c>
      <c r="E11" s="7" t="inlineStr">
        <is>
          <t>Full rescue</t>
        </is>
      </c>
      <c r="F11" s="10">
        <f>IFS(E11="Full rescue",1,E11="Donation only",0.3,E11="Spot-and-report",0.15,E11="Refurbishment",0.85,E11="Recycling only",0.15)</f>
        <v/>
      </c>
      <c r="G11" s="11">
        <f>((C11*B11*$B$5)+(D11*B11))*F11</f>
        <v/>
      </c>
      <c r="H11" s="11">
        <f>IF(E11="Spot-and-report",0,$B$6)</f>
        <v/>
      </c>
      <c r="I11" s="12">
        <f>MAX(G11-H11,0)</f>
        <v/>
      </c>
      <c r="J11" s="13">
        <f>ROUND(I11*$B$7,0)</f>
        <v/>
      </c>
    </row>
    <row r="12">
      <c r="A12" s="7" t="inlineStr">
        <is>
          <t>Armchair</t>
        </is>
      </c>
      <c r="B12" s="8" t="n">
        <v>25</v>
      </c>
      <c r="C12" s="8" t="n">
        <v>5</v>
      </c>
      <c r="D12" s="9" t="n">
        <v>0.497</v>
      </c>
      <c r="E12" s="7" t="inlineStr">
        <is>
          <t>Full rescue</t>
        </is>
      </c>
      <c r="F12" s="10">
        <f>IFS(E12="Full rescue",1,E12="Donation only",0.3,E12="Spot-and-report",0.15,E12="Refurbishment",0.85,E12="Recycling only",0.15)</f>
        <v/>
      </c>
      <c r="G12" s="11">
        <f>((C12*B12*$B$5)+(D12*B12))*F12</f>
        <v/>
      </c>
      <c r="H12" s="11">
        <f>IF(E12="Spot-and-report",0,$B$6)</f>
        <v/>
      </c>
      <c r="I12" s="12">
        <f>MAX(G12-H12,0)</f>
        <v/>
      </c>
      <c r="J12" s="13">
        <f>ROUND(I12*$B$7,0)</f>
        <v/>
      </c>
    </row>
    <row r="13">
      <c r="A13" s="7" t="inlineStr">
        <is>
          <t>Fridge freezer</t>
        </is>
      </c>
      <c r="B13" s="8" t="n">
        <v>60</v>
      </c>
      <c r="C13" s="8" t="n">
        <v>4</v>
      </c>
      <c r="D13" s="9" t="n">
        <v>0.05</v>
      </c>
      <c r="E13" s="7" t="inlineStr">
        <is>
          <t>Full rescue</t>
        </is>
      </c>
      <c r="F13" s="10">
        <f>IFS(E13="Full rescue",1,E13="Donation only",0.3,E13="Spot-and-report",0.15,E13="Refurbishment",0.85,E13="Recycling only",0.15)</f>
        <v/>
      </c>
      <c r="G13" s="11">
        <f>((C13*B13*$B$5)+(D13*B13))*F13</f>
        <v/>
      </c>
      <c r="H13" s="11">
        <f>IF(E13="Spot-and-report",0,$B$6)</f>
        <v/>
      </c>
      <c r="I13" s="12">
        <f>MAX(G13-H13,0)</f>
        <v/>
      </c>
      <c r="J13" s="13">
        <f>ROUND(I13*$B$7,0)</f>
        <v/>
      </c>
    </row>
    <row r="14">
      <c r="A14" s="7" t="inlineStr">
        <is>
          <t>Washing machine</t>
        </is>
      </c>
      <c r="B14" s="8" t="n">
        <v>70</v>
      </c>
      <c r="C14" s="8" t="n">
        <v>4</v>
      </c>
      <c r="D14" s="9" t="n">
        <v>0.05</v>
      </c>
      <c r="E14" s="7" t="inlineStr">
        <is>
          <t>Full rescue</t>
        </is>
      </c>
      <c r="F14" s="10">
        <f>IFS(E14="Full rescue",1,E14="Donation only",0.3,E14="Spot-and-report",0.15,E14="Refurbishment",0.85,E14="Recycling only",0.15)</f>
        <v/>
      </c>
      <c r="G14" s="11">
        <f>((C14*B14*$B$5)+(D14*B14))*F14</f>
        <v/>
      </c>
      <c r="H14" s="11">
        <f>IF(E14="Spot-and-report",0,$B$6)</f>
        <v/>
      </c>
      <c r="I14" s="12">
        <f>MAX(G14-H14,0)</f>
        <v/>
      </c>
      <c r="J14" s="13">
        <f>ROUND(I14*$B$7,0)</f>
        <v/>
      </c>
    </row>
    <row r="15">
      <c r="A15" s="7" t="inlineStr">
        <is>
          <t>Double mattress</t>
        </is>
      </c>
      <c r="B15" s="8" t="n">
        <v>30</v>
      </c>
      <c r="C15" s="8" t="n">
        <v>6</v>
      </c>
      <c r="D15" s="9" t="n">
        <v>0.497</v>
      </c>
      <c r="E15" s="7" t="inlineStr">
        <is>
          <t>Full rescue</t>
        </is>
      </c>
      <c r="F15" s="10">
        <f>IFS(E15="Full rescue",1,E15="Donation only",0.3,E15="Spot-and-report",0.15,E15="Refurbishment",0.85,E15="Recycling only",0.15)</f>
        <v/>
      </c>
      <c r="G15" s="11">
        <f>((C15*B15*$B$5)+(D15*B15))*F15</f>
        <v/>
      </c>
      <c r="H15" s="11">
        <f>IF(E15="Spot-and-report",0,$B$6)</f>
        <v/>
      </c>
      <c r="I15" s="12">
        <f>MAX(G15-H15,0)</f>
        <v/>
      </c>
      <c r="J15" s="13">
        <f>ROUND(I15*$B$7,0)</f>
        <v/>
      </c>
    </row>
    <row r="16">
      <c r="A16" s="7" t="inlineStr">
        <is>
          <t>Wardrobe — 2-door</t>
        </is>
      </c>
      <c r="B16" s="8" t="n">
        <v>50</v>
      </c>
      <c r="C16" s="8" t="n">
        <v>1</v>
      </c>
      <c r="D16" s="9" t="n">
        <v>0.925</v>
      </c>
      <c r="E16" s="7" t="inlineStr">
        <is>
          <t>Full rescue</t>
        </is>
      </c>
      <c r="F16" s="10">
        <f>IFS(E16="Full rescue",1,E16="Donation only",0.3,E16="Spot-and-report",0.15,E16="Refurbishment",0.85,E16="Recycling only",0.15)</f>
        <v/>
      </c>
      <c r="G16" s="11">
        <f>((C16*B16*$B$5)+(D16*B16))*F16</f>
        <v/>
      </c>
      <c r="H16" s="11">
        <f>IF(E16="Spot-and-report",0,$B$6)</f>
        <v/>
      </c>
      <c r="I16" s="12">
        <f>MAX(G16-H16,0)</f>
        <v/>
      </c>
      <c r="J16" s="13">
        <f>ROUND(I16*$B$7,0)</f>
        <v/>
      </c>
    </row>
    <row r="17">
      <c r="A17" s="7" t="inlineStr">
        <is>
          <t>Dining table — 4-seater</t>
        </is>
      </c>
      <c r="B17" s="8" t="n">
        <v>35</v>
      </c>
      <c r="C17" s="8" t="n">
        <v>1</v>
      </c>
      <c r="D17" s="9" t="n">
        <v>0.925</v>
      </c>
      <c r="E17" s="7" t="inlineStr">
        <is>
          <t>Full rescue</t>
        </is>
      </c>
      <c r="F17" s="10">
        <f>IFS(E17="Full rescue",1,E17="Donation only",0.3,E17="Spot-and-report",0.15,E17="Refurbishment",0.85,E17="Recycling only",0.15)</f>
        <v/>
      </c>
      <c r="G17" s="11">
        <f>((C17*B17*$B$5)+(D17*B17))*F17</f>
        <v/>
      </c>
      <c r="H17" s="11">
        <f>IF(E17="Spot-and-report",0,$B$6)</f>
        <v/>
      </c>
      <c r="I17" s="12">
        <f>MAX(G17-H17,0)</f>
        <v/>
      </c>
      <c r="J17" s="13">
        <f>ROUND(I17*$B$7,0)</f>
        <v/>
      </c>
    </row>
    <row r="18">
      <c r="A18" s="7" t="inlineStr">
        <is>
          <t>Microwave</t>
        </is>
      </c>
      <c r="B18" s="8" t="n">
        <v>12</v>
      </c>
      <c r="C18" s="8" t="n">
        <v>7</v>
      </c>
      <c r="D18" s="9" t="n">
        <v>0.1</v>
      </c>
      <c r="E18" s="7" t="inlineStr">
        <is>
          <t>Full rescue</t>
        </is>
      </c>
      <c r="F18" s="10">
        <f>IFS(E18="Full rescue",1,E18="Donation only",0.3,E18="Spot-and-report",0.15,E18="Refurbishment",0.85,E18="Recycling only",0.15)</f>
        <v/>
      </c>
      <c r="G18" s="11">
        <f>((C18*B18*$B$5)+(D18*B18))*F18</f>
        <v/>
      </c>
      <c r="H18" s="11">
        <f>IF(E18="Spot-and-report",0,$B$6)</f>
        <v/>
      </c>
      <c r="I18" s="12">
        <f>MAX(G18-H18,0)</f>
        <v/>
      </c>
      <c r="J18" s="13">
        <f>ROUND(I18*$B$7,0)</f>
        <v/>
      </c>
    </row>
    <row r="19">
      <c r="A19" s="7" t="inlineStr">
        <is>
          <t>Laptop</t>
        </is>
      </c>
      <c r="B19" s="8" t="n">
        <v>2</v>
      </c>
      <c r="C19" s="8" t="n">
        <v>20</v>
      </c>
      <c r="D19" s="9" t="n">
        <v>0.1</v>
      </c>
      <c r="E19" s="7" t="inlineStr">
        <is>
          <t>Full rescue</t>
        </is>
      </c>
      <c r="F19" s="10">
        <f>IFS(E19="Full rescue",1,E19="Donation only",0.3,E19="Spot-and-report",0.15,E19="Refurbishment",0.85,E19="Recycling only",0.15)</f>
        <v/>
      </c>
      <c r="G19" s="11">
        <f>((C19*B19*$B$5)+(D19*B19))*F19</f>
        <v/>
      </c>
      <c r="H19" s="11">
        <f>IF(E19="Spot-and-report",0,$B$6)</f>
        <v/>
      </c>
      <c r="I19" s="12">
        <f>MAX(G19-H19,0)</f>
        <v/>
      </c>
      <c r="J19" s="13">
        <f>ROUND(I19*$B$7,0)</f>
        <v/>
      </c>
    </row>
    <row r="20">
      <c r="A20" s="7" t="inlineStr">
        <is>
          <t>Sofa — 2-seater</t>
        </is>
      </c>
      <c r="B20" s="8" t="n">
        <v>40</v>
      </c>
      <c r="C20" s="8" t="n">
        <v>5</v>
      </c>
      <c r="D20" s="9" t="n">
        <v>0.497</v>
      </c>
      <c r="E20" s="7" t="inlineStr">
        <is>
          <t>Donation only</t>
        </is>
      </c>
      <c r="F20" s="10">
        <f>IFS(E20="Full rescue",1,E20="Donation only",0.3,E20="Spot-and-report",0.15,E20="Refurbishment",0.85,E20="Recycling only",0.15)</f>
        <v/>
      </c>
      <c r="G20" s="11">
        <f>((C20*B20*$B$5)+(D20*B20))*F20</f>
        <v/>
      </c>
      <c r="H20" s="11">
        <f>IF(E20="Spot-and-report",0,$B$6)</f>
        <v/>
      </c>
      <c r="I20" s="12">
        <f>MAX(G20-H20,0)</f>
        <v/>
      </c>
      <c r="J20" s="13">
        <f>ROUND(I20*$B$7,0)</f>
        <v/>
      </c>
    </row>
    <row r="21">
      <c r="A21" s="7" t="inlineStr">
        <is>
          <t>Bookshelf — tall</t>
        </is>
      </c>
      <c r="B21" s="8" t="n">
        <v>25</v>
      </c>
      <c r="C21" s="8" t="n">
        <v>1</v>
      </c>
      <c r="D21" s="9" t="n">
        <v>0.925</v>
      </c>
      <c r="E21" s="7" t="inlineStr">
        <is>
          <t>Spot-and-report</t>
        </is>
      </c>
      <c r="F21" s="10">
        <f>IFS(E21="Full rescue",1,E21="Donation only",0.3,E21="Spot-and-report",0.15,E21="Refurbishment",0.85,E21="Recycling only",0.15)</f>
        <v/>
      </c>
      <c r="G21" s="11">
        <f>((C21*B21*$B$5)+(D21*B21))*F21</f>
        <v/>
      </c>
      <c r="H21" s="11">
        <f>IF(E21="Spot-and-report",0,$B$6)</f>
        <v/>
      </c>
      <c r="I21" s="12">
        <f>MAX(G21-H21,0)</f>
        <v/>
      </c>
      <c r="J21" s="13">
        <f>ROUND(I21*$B$7,0)</f>
        <v/>
      </c>
    </row>
    <row r="22">
      <c r="A22" s="7" t="inlineStr">
        <is>
          <t>Office chair</t>
        </is>
      </c>
      <c r="B22" s="8" t="n">
        <v>15</v>
      </c>
      <c r="C22" s="8" t="n">
        <v>4</v>
      </c>
      <c r="D22" s="9" t="n">
        <v>0.2</v>
      </c>
      <c r="E22" s="7" t="inlineStr">
        <is>
          <t>Refurbishment</t>
        </is>
      </c>
      <c r="F22" s="10">
        <f>IFS(E22="Full rescue",1,E22="Donation only",0.3,E22="Spot-and-report",0.15,E22="Refurbishment",0.85,E22="Recycling only",0.15)</f>
        <v/>
      </c>
      <c r="G22" s="11">
        <f>((C22*B22*$B$5)+(D22*B22))*F22</f>
        <v/>
      </c>
      <c r="H22" s="11">
        <f>IF(E22="Spot-and-report",0,$B$6)</f>
        <v/>
      </c>
      <c r="I22" s="12">
        <f>MAX(G22-H22,0)</f>
        <v/>
      </c>
      <c r="J22" s="13">
        <f>ROUND(I22*$B$7,0)</f>
        <v/>
      </c>
    </row>
    <row r="24">
      <c r="A24" s="14" t="inlineStr">
        <is>
          <t>TOTALS</t>
        </is>
      </c>
      <c r="B24" s="15" t="n"/>
      <c r="C24" s="15" t="n"/>
      <c r="D24" s="15" t="n"/>
      <c r="E24" s="15" t="n"/>
      <c r="F24" s="15" t="n"/>
      <c r="G24" s="16">
        <f>SUM(G11:G22)</f>
        <v/>
      </c>
      <c r="H24" s="16">
        <f>SUM(H11:H22)</f>
        <v/>
      </c>
      <c r="I24" s="16">
        <f>SUM(I11:I22)</f>
        <v/>
      </c>
      <c r="J24" s="16">
        <f>SUM(J11:J22)</f>
        <v/>
      </c>
    </row>
    <row r="27">
      <c r="A27" s="3" t="inlineStr">
        <is>
          <t>WHAT THIS MEANS IN REAL-WORLD TERMS</t>
        </is>
      </c>
    </row>
    <row r="28">
      <c r="A28" t="inlineStr">
        <is>
          <t>Equivalent miles not driven (UK car avg, 0.28 kg/mile)</t>
        </is>
      </c>
      <c r="B28" s="17">
        <f>ROUND(I24/0.28,0)</f>
        <v/>
      </c>
      <c r="C28" t="inlineStr">
        <is>
          <t>miles</t>
        </is>
      </c>
    </row>
    <row r="29">
      <c r="A29" t="inlineStr">
        <is>
          <t>Equivalent London-Edinburgh train returns (60 kg per trip)</t>
        </is>
      </c>
      <c r="B29" s="18">
        <f>ROUND(I24/60,1)</f>
        <v/>
      </c>
      <c r="C29" t="inlineStr">
        <is>
          <t>returns</t>
        </is>
      </c>
    </row>
    <row r="30">
      <c r="A30" t="inlineStr">
        <is>
          <t>Equivalent months of UK household gas heating (200 kg/month)</t>
        </is>
      </c>
      <c r="B30" s="18">
        <f>ROUND(I24/200,1)</f>
        <v/>
      </c>
      <c r="C30" t="inlineStr">
        <is>
          <t>months</t>
        </is>
      </c>
    </row>
    <row r="32">
      <c r="A32" s="19" t="inlineStr">
        <is>
          <t>KEY</t>
        </is>
      </c>
    </row>
    <row r="33">
      <c r="A33" s="20" t="inlineStr">
        <is>
          <t>Blue text</t>
        </is>
      </c>
      <c r="B33">
        <f> hardcoded input (you can change these)</f>
        <v/>
      </c>
    </row>
    <row r="34">
      <c r="A34" s="21" t="inlineStr">
        <is>
          <t>Black text</t>
        </is>
      </c>
      <c r="B34">
        <f> formula (calculated automatically)</f>
        <v/>
      </c>
    </row>
    <row r="35">
      <c r="A35" s="22" t="inlineStr">
        <is>
          <t>Green text</t>
        </is>
      </c>
      <c r="B35">
        <f> final output</f>
        <v/>
      </c>
    </row>
  </sheetData>
  <mergeCells count="5">
    <mergeCell ref="A4:B4"/>
    <mergeCell ref="A2:F2"/>
    <mergeCell ref="A9:J9"/>
    <mergeCell ref="A1:F1"/>
    <mergeCell ref="A27:E27"/>
  </mergeCells>
  <dataValidations count="1">
    <dataValidation sqref="E11 E12 E13 E14 E15 E16 E17 E18 E19 E20 E21 E22" showDropDown="0" showInputMessage="0" showErrorMessage="0" allowBlank="0" errorTitle="Invalid action" error="Please select an action type" type="list">
      <formula1>"Full rescue,Donation only,Spot-and-report,Refurbishment,Recycling only"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14" customWidth="1" min="6" max="6"/>
    <col width="15" customWidth="1" min="7" max="7"/>
    <col width="15" customWidth="1" min="8" max="8"/>
    <col width="13" customWidth="1" min="9" max="9"/>
    <col width="18" customWidth="1" min="10" max="10"/>
    <col width="14" customWidth="1" min="11" max="11"/>
    <col width="60" customWidth="1" min="12" max="12"/>
  </cols>
  <sheetData>
    <row r="1" ht="28" customHeight="1">
      <c r="A1" s="23" t="inlineStr">
        <is>
          <t>TruCycle Item Database — Bulky Waste &amp; WEEE</t>
        </is>
      </c>
    </row>
    <row r="2">
      <c r="A2" s="5" t="inlineStr">
        <is>
          <t>Reference table — 106 items across furniture and WEEE categories</t>
        </is>
      </c>
    </row>
    <row r="4" ht="38" customHeight="1">
      <c r="A4" s="6" t="inlineStr">
        <is>
          <t>Category</t>
        </is>
      </c>
      <c r="B4" s="6" t="inlineStr">
        <is>
          <t>Subcategory</t>
        </is>
      </c>
      <c r="C4" s="6" t="inlineStr">
        <is>
          <t>Item</t>
        </is>
      </c>
      <c r="D4" s="6" t="inlineStr">
        <is>
          <t>Weight (kg)</t>
        </is>
      </c>
      <c r="E4" s="6" t="inlineStr">
        <is>
          <t>Embodied CO2e/kg</t>
        </is>
      </c>
      <c r="F4" s="6" t="inlineStr">
        <is>
          <t>Landfill CO2e/kg</t>
        </is>
      </c>
      <c r="G4" s="6" t="inlineStr">
        <is>
          <t>Embodied saved (kg)</t>
        </is>
      </c>
      <c r="H4" s="6" t="inlineStr">
        <is>
          <t>Landfill avoided (kg)</t>
        </is>
      </c>
      <c r="I4" s="6" t="inlineStr">
        <is>
          <t>Collection (kg)</t>
        </is>
      </c>
      <c r="J4" s="6" t="inlineStr">
        <is>
          <t>Net CO2e @ 0.6 sub (kg)</t>
        </is>
      </c>
      <c r="K4" s="6" t="inlineStr">
        <is>
          <t>Carbon points</t>
        </is>
      </c>
      <c r="L4" s="6" t="inlineStr">
        <is>
          <t>Source notes</t>
        </is>
      </c>
    </row>
    <row r="5">
      <c r="A5" s="24" t="inlineStr">
        <is>
          <t>Furniture</t>
        </is>
      </c>
      <c r="B5" s="24" t="inlineStr">
        <is>
          <t>Soft furniture</t>
        </is>
      </c>
      <c r="C5" s="24" t="inlineStr">
        <is>
          <t>Sofa — 3-seater</t>
        </is>
      </c>
      <c r="D5" s="25" t="n">
        <v>55</v>
      </c>
      <c r="E5" s="25" t="n">
        <v>5</v>
      </c>
      <c r="F5" s="25" t="n">
        <v>0.497</v>
      </c>
      <c r="G5" s="25" t="n">
        <v>275</v>
      </c>
      <c r="H5" s="25" t="n">
        <v>27.3</v>
      </c>
      <c r="I5" s="25" t="n">
        <v>1.4</v>
      </c>
      <c r="J5" s="12" t="n">
        <v>190.9</v>
      </c>
      <c r="K5" s="26" t="n">
        <v>191</v>
      </c>
      <c r="L5" s="24" t="inlineStr">
        <is>
          <t>Upholstered, mixed materials. FIRA avg for new manufacture</t>
        </is>
      </c>
    </row>
    <row r="6">
      <c r="A6" s="27" t="inlineStr">
        <is>
          <t>Furniture</t>
        </is>
      </c>
      <c r="B6" s="27" t="inlineStr">
        <is>
          <t>Soft furniture</t>
        </is>
      </c>
      <c r="C6" s="27" t="inlineStr">
        <is>
          <t>Sofa — 2-seater</t>
        </is>
      </c>
      <c r="D6" s="28" t="n">
        <v>40</v>
      </c>
      <c r="E6" s="28" t="n">
        <v>5</v>
      </c>
      <c r="F6" s="28" t="n">
        <v>0.497</v>
      </c>
      <c r="G6" s="28" t="n">
        <v>200</v>
      </c>
      <c r="H6" s="28" t="n">
        <v>19.9</v>
      </c>
      <c r="I6" s="28" t="n">
        <v>1.4</v>
      </c>
      <c r="J6" s="29" t="n">
        <v>138.5</v>
      </c>
      <c r="K6" s="30" t="n">
        <v>138</v>
      </c>
      <c r="L6" s="27" t="inlineStr">
        <is>
          <t>Upholstered, mixed materials</t>
        </is>
      </c>
    </row>
    <row r="7">
      <c r="A7" s="24" t="inlineStr">
        <is>
          <t>Furniture</t>
        </is>
      </c>
      <c r="B7" s="24" t="inlineStr">
        <is>
          <t>Soft furniture</t>
        </is>
      </c>
      <c r="C7" s="24" t="inlineStr">
        <is>
          <t>Armchair</t>
        </is>
      </c>
      <c r="D7" s="25" t="n">
        <v>25</v>
      </c>
      <c r="E7" s="25" t="n">
        <v>5</v>
      </c>
      <c r="F7" s="25" t="n">
        <v>0.497</v>
      </c>
      <c r="G7" s="25" t="n">
        <v>125</v>
      </c>
      <c r="H7" s="25" t="n">
        <v>12.4</v>
      </c>
      <c r="I7" s="25" t="n">
        <v>1.4</v>
      </c>
      <c r="J7" s="12" t="n">
        <v>86</v>
      </c>
      <c r="K7" s="26" t="n">
        <v>86</v>
      </c>
      <c r="L7" s="24" t="inlineStr">
        <is>
          <t>Upholstered single seat</t>
        </is>
      </c>
    </row>
    <row r="8">
      <c r="A8" s="27" t="inlineStr">
        <is>
          <t>Furniture</t>
        </is>
      </c>
      <c r="B8" s="27" t="inlineStr">
        <is>
          <t>Soft furniture</t>
        </is>
      </c>
      <c r="C8" s="27" t="inlineStr">
        <is>
          <t>Sofa bed</t>
        </is>
      </c>
      <c r="D8" s="28" t="n">
        <v>60</v>
      </c>
      <c r="E8" s="28" t="n">
        <v>5.2</v>
      </c>
      <c r="F8" s="28" t="n">
        <v>0.497</v>
      </c>
      <c r="G8" s="28" t="n">
        <v>312</v>
      </c>
      <c r="H8" s="28" t="n">
        <v>29.8</v>
      </c>
      <c r="I8" s="28" t="n">
        <v>1.4</v>
      </c>
      <c r="J8" s="29" t="n">
        <v>215.6</v>
      </c>
      <c r="K8" s="30" t="n">
        <v>216</v>
      </c>
      <c r="L8" s="27" t="inlineStr">
        <is>
          <t>Includes mechanism — higher embodied</t>
        </is>
      </c>
    </row>
    <row r="9">
      <c r="A9" s="24" t="inlineStr">
        <is>
          <t>Furniture</t>
        </is>
      </c>
      <c r="B9" s="24" t="inlineStr">
        <is>
          <t>Soft furniture</t>
        </is>
      </c>
      <c r="C9" s="24" t="inlineStr">
        <is>
          <t>Recliner</t>
        </is>
      </c>
      <c r="D9" s="25" t="n">
        <v>45</v>
      </c>
      <c r="E9" s="25" t="n">
        <v>5.5</v>
      </c>
      <c r="F9" s="25" t="n">
        <v>0.497</v>
      </c>
      <c r="G9" s="25" t="n">
        <v>247.5</v>
      </c>
      <c r="H9" s="25" t="n">
        <v>22.4</v>
      </c>
      <c r="I9" s="25" t="n">
        <v>1.4</v>
      </c>
      <c r="J9" s="12" t="n">
        <v>169.5</v>
      </c>
      <c r="K9" s="26" t="n">
        <v>170</v>
      </c>
      <c r="L9" s="24" t="inlineStr">
        <is>
          <t>Mechanism + upholstery</t>
        </is>
      </c>
    </row>
    <row r="10">
      <c r="A10" s="27" t="inlineStr">
        <is>
          <t>Furniture</t>
        </is>
      </c>
      <c r="B10" s="27" t="inlineStr">
        <is>
          <t>Soft furniture</t>
        </is>
      </c>
      <c r="C10" s="27" t="inlineStr">
        <is>
          <t>Footstool / ottoman</t>
        </is>
      </c>
      <c r="D10" s="28" t="n">
        <v>8</v>
      </c>
      <c r="E10" s="28" t="n">
        <v>4.5</v>
      </c>
      <c r="F10" s="28" t="n">
        <v>0.497</v>
      </c>
      <c r="G10" s="28" t="n">
        <v>36</v>
      </c>
      <c r="H10" s="28" t="n">
        <v>4</v>
      </c>
      <c r="I10" s="28" t="n">
        <v>1.4</v>
      </c>
      <c r="J10" s="29" t="n">
        <v>24.2</v>
      </c>
      <c r="K10" s="30" t="n">
        <v>24</v>
      </c>
      <c r="L10" s="27" t="inlineStr">
        <is>
          <t>Smaller upholstered item</t>
        </is>
      </c>
    </row>
    <row r="11">
      <c r="A11" s="24" t="inlineStr">
        <is>
          <t>Furniture</t>
        </is>
      </c>
      <c r="B11" s="24" t="inlineStr">
        <is>
          <t>Beds &amp; mattresses</t>
        </is>
      </c>
      <c r="C11" s="24" t="inlineStr">
        <is>
          <t>Double mattress</t>
        </is>
      </c>
      <c r="D11" s="25" t="n">
        <v>30</v>
      </c>
      <c r="E11" s="25" t="n">
        <v>6</v>
      </c>
      <c r="F11" s="25" t="n">
        <v>0.497</v>
      </c>
      <c r="G11" s="25" t="n">
        <v>180</v>
      </c>
      <c r="H11" s="25" t="n">
        <v>14.9</v>
      </c>
      <c r="I11" s="25" t="n">
        <v>1.4</v>
      </c>
      <c r="J11" s="12" t="n">
        <v>121.5</v>
      </c>
      <c r="K11" s="26" t="n">
        <v>122</v>
      </c>
      <c r="L11" s="24" t="inlineStr">
        <is>
          <t>WRAP mattress research avg</t>
        </is>
      </c>
    </row>
    <row r="12">
      <c r="A12" s="27" t="inlineStr">
        <is>
          <t>Furniture</t>
        </is>
      </c>
      <c r="B12" s="27" t="inlineStr">
        <is>
          <t>Beds &amp; mattresses</t>
        </is>
      </c>
      <c r="C12" s="27" t="inlineStr">
        <is>
          <t>Single mattress</t>
        </is>
      </c>
      <c r="D12" s="28" t="n">
        <v>18</v>
      </c>
      <c r="E12" s="28" t="n">
        <v>6</v>
      </c>
      <c r="F12" s="28" t="n">
        <v>0.497</v>
      </c>
      <c r="G12" s="28" t="n">
        <v>108</v>
      </c>
      <c r="H12" s="28" t="n">
        <v>8.9</v>
      </c>
      <c r="I12" s="28" t="n">
        <v>1.4</v>
      </c>
      <c r="J12" s="29" t="n">
        <v>72.3</v>
      </c>
      <c r="K12" s="30" t="n">
        <v>72</v>
      </c>
      <c r="L12" s="27" t="inlineStr">
        <is>
          <t>WRAP mattress research avg</t>
        </is>
      </c>
    </row>
    <row r="13">
      <c r="A13" s="24" t="inlineStr">
        <is>
          <t>Furniture</t>
        </is>
      </c>
      <c r="B13" s="24" t="inlineStr">
        <is>
          <t>Beds &amp; mattresses</t>
        </is>
      </c>
      <c r="C13" s="24" t="inlineStr">
        <is>
          <t>King mattress</t>
        </is>
      </c>
      <c r="D13" s="25" t="n">
        <v>40</v>
      </c>
      <c r="E13" s="25" t="n">
        <v>6</v>
      </c>
      <c r="F13" s="25" t="n">
        <v>0.497</v>
      </c>
      <c r="G13" s="25" t="n">
        <v>240</v>
      </c>
      <c r="H13" s="25" t="n">
        <v>19.9</v>
      </c>
      <c r="I13" s="25" t="n">
        <v>1.4</v>
      </c>
      <c r="J13" s="12" t="n">
        <v>162.5</v>
      </c>
      <c r="K13" s="26" t="n">
        <v>162</v>
      </c>
      <c r="L13" s="24" t="inlineStr">
        <is>
          <t>WRAP mattress research avg</t>
        </is>
      </c>
    </row>
    <row r="14">
      <c r="A14" s="27" t="inlineStr">
        <is>
          <t>Furniture</t>
        </is>
      </c>
      <c r="B14" s="27" t="inlineStr">
        <is>
          <t>Beds &amp; mattresses</t>
        </is>
      </c>
      <c r="C14" s="27" t="inlineStr">
        <is>
          <t>Bed frame — wooden double</t>
        </is>
      </c>
      <c r="D14" s="28" t="n">
        <v>35</v>
      </c>
      <c r="E14" s="28" t="n">
        <v>1</v>
      </c>
      <c r="F14" s="28" t="n">
        <v>0.925</v>
      </c>
      <c r="G14" s="28" t="n">
        <v>35</v>
      </c>
      <c r="H14" s="28" t="n">
        <v>32.4</v>
      </c>
      <c r="I14" s="28" t="n">
        <v>1.4</v>
      </c>
      <c r="J14" s="29" t="n">
        <v>52</v>
      </c>
      <c r="K14" s="30" t="n">
        <v>52</v>
      </c>
      <c r="L14" s="27" t="inlineStr">
        <is>
          <t>Solid wood, DEFRA wood landfill factor</t>
        </is>
      </c>
    </row>
    <row r="15">
      <c r="A15" s="24" t="inlineStr">
        <is>
          <t>Furniture</t>
        </is>
      </c>
      <c r="B15" s="24" t="inlineStr">
        <is>
          <t>Beds &amp; mattresses</t>
        </is>
      </c>
      <c r="C15" s="24" t="inlineStr">
        <is>
          <t>Bed frame — metal double</t>
        </is>
      </c>
      <c r="D15" s="25" t="n">
        <v>30</v>
      </c>
      <c r="E15" s="25" t="n">
        <v>4</v>
      </c>
      <c r="F15" s="25" t="n">
        <v>0.1</v>
      </c>
      <c r="G15" s="25" t="n">
        <v>120</v>
      </c>
      <c r="H15" s="25" t="n">
        <v>3</v>
      </c>
      <c r="I15" s="25" t="n">
        <v>1.4</v>
      </c>
      <c r="J15" s="12" t="n">
        <v>73.59999999999999</v>
      </c>
      <c r="K15" s="26" t="n">
        <v>74</v>
      </c>
      <c r="L15" s="24" t="inlineStr">
        <is>
          <t>Metal — mostly recycled, low landfill</t>
        </is>
      </c>
    </row>
    <row r="16">
      <c r="A16" s="27" t="inlineStr">
        <is>
          <t>Furniture</t>
        </is>
      </c>
      <c r="B16" s="27" t="inlineStr">
        <is>
          <t>Beds &amp; mattresses</t>
        </is>
      </c>
      <c r="C16" s="27" t="inlineStr">
        <is>
          <t>Divan base</t>
        </is>
      </c>
      <c r="D16" s="28" t="n">
        <v>30</v>
      </c>
      <c r="E16" s="28" t="n">
        <v>3.5</v>
      </c>
      <c r="F16" s="28" t="n">
        <v>0.497</v>
      </c>
      <c r="G16" s="28" t="n">
        <v>105</v>
      </c>
      <c r="H16" s="28" t="n">
        <v>14.9</v>
      </c>
      <c r="I16" s="28" t="n">
        <v>1.4</v>
      </c>
      <c r="J16" s="29" t="n">
        <v>76.5</v>
      </c>
      <c r="K16" s="30" t="n">
        <v>76</v>
      </c>
      <c r="L16" s="27" t="inlineStr">
        <is>
          <t>Mixed wood/fabric construction</t>
        </is>
      </c>
    </row>
    <row r="17">
      <c r="A17" s="24" t="inlineStr">
        <is>
          <t>Furniture</t>
        </is>
      </c>
      <c r="B17" s="24" t="inlineStr">
        <is>
          <t>Beds &amp; mattresses</t>
        </is>
      </c>
      <c r="C17" s="24" t="inlineStr">
        <is>
          <t>Cot / child bed</t>
        </is>
      </c>
      <c r="D17" s="25" t="n">
        <v>15</v>
      </c>
      <c r="E17" s="25" t="n">
        <v>1.2</v>
      </c>
      <c r="F17" s="25" t="n">
        <v>0.925</v>
      </c>
      <c r="G17" s="25" t="n">
        <v>18</v>
      </c>
      <c r="H17" s="25" t="n">
        <v>13.9</v>
      </c>
      <c r="I17" s="25" t="n">
        <v>1.4</v>
      </c>
      <c r="J17" s="12" t="n">
        <v>23.3</v>
      </c>
      <c r="K17" s="26" t="n">
        <v>23</v>
      </c>
      <c r="L17" s="24" t="inlineStr">
        <is>
          <t>Wooden frame</t>
        </is>
      </c>
    </row>
    <row r="18">
      <c r="A18" s="27" t="inlineStr">
        <is>
          <t>Furniture</t>
        </is>
      </c>
      <c r="B18" s="27" t="inlineStr">
        <is>
          <t>Storage</t>
        </is>
      </c>
      <c r="C18" s="27" t="inlineStr">
        <is>
          <t>Wardrobe — 2-door</t>
        </is>
      </c>
      <c r="D18" s="28" t="n">
        <v>50</v>
      </c>
      <c r="E18" s="28" t="n">
        <v>1</v>
      </c>
      <c r="F18" s="28" t="n">
        <v>0.925</v>
      </c>
      <c r="G18" s="28" t="n">
        <v>50</v>
      </c>
      <c r="H18" s="28" t="n">
        <v>46.2</v>
      </c>
      <c r="I18" s="28" t="n">
        <v>1.4</v>
      </c>
      <c r="J18" s="29" t="n">
        <v>74.8</v>
      </c>
      <c r="K18" s="30" t="n">
        <v>75</v>
      </c>
      <c r="L18" s="27" t="inlineStr">
        <is>
          <t>Solid or engineered wood</t>
        </is>
      </c>
    </row>
    <row r="19">
      <c r="A19" s="24" t="inlineStr">
        <is>
          <t>Furniture</t>
        </is>
      </c>
      <c r="B19" s="24" t="inlineStr">
        <is>
          <t>Storage</t>
        </is>
      </c>
      <c r="C19" s="24" t="inlineStr">
        <is>
          <t>Wardrobe — 3-door</t>
        </is>
      </c>
      <c r="D19" s="25" t="n">
        <v>80</v>
      </c>
      <c r="E19" s="25" t="n">
        <v>1</v>
      </c>
      <c r="F19" s="25" t="n">
        <v>0.925</v>
      </c>
      <c r="G19" s="25" t="n">
        <v>80</v>
      </c>
      <c r="H19" s="25" t="n">
        <v>74</v>
      </c>
      <c r="I19" s="25" t="n">
        <v>1.4</v>
      </c>
      <c r="J19" s="12" t="n">
        <v>120.6</v>
      </c>
      <c r="K19" s="26" t="n">
        <v>121</v>
      </c>
      <c r="L19" s="24" t="inlineStr">
        <is>
          <t>Solid or engineered wood</t>
        </is>
      </c>
    </row>
    <row r="20">
      <c r="A20" s="27" t="inlineStr">
        <is>
          <t>Furniture</t>
        </is>
      </c>
      <c r="B20" s="27" t="inlineStr">
        <is>
          <t>Storage</t>
        </is>
      </c>
      <c r="C20" s="27" t="inlineStr">
        <is>
          <t>Chest of drawers</t>
        </is>
      </c>
      <c r="D20" s="28" t="n">
        <v>30</v>
      </c>
      <c r="E20" s="28" t="n">
        <v>1</v>
      </c>
      <c r="F20" s="28" t="n">
        <v>0.925</v>
      </c>
      <c r="G20" s="28" t="n">
        <v>30</v>
      </c>
      <c r="H20" s="28" t="n">
        <v>27.8</v>
      </c>
      <c r="I20" s="28" t="n">
        <v>1.4</v>
      </c>
      <c r="J20" s="29" t="n">
        <v>44.4</v>
      </c>
      <c r="K20" s="30" t="n">
        <v>44</v>
      </c>
      <c r="L20" s="27" t="inlineStr">
        <is>
          <t>Typical 4-drawer</t>
        </is>
      </c>
    </row>
    <row r="21">
      <c r="A21" s="24" t="inlineStr">
        <is>
          <t>Furniture</t>
        </is>
      </c>
      <c r="B21" s="24" t="inlineStr">
        <is>
          <t>Storage</t>
        </is>
      </c>
      <c r="C21" s="24" t="inlineStr">
        <is>
          <t>Bedside table</t>
        </is>
      </c>
      <c r="D21" s="25" t="n">
        <v>12</v>
      </c>
      <c r="E21" s="25" t="n">
        <v>1</v>
      </c>
      <c r="F21" s="25" t="n">
        <v>0.925</v>
      </c>
      <c r="G21" s="25" t="n">
        <v>12</v>
      </c>
      <c r="H21" s="25" t="n">
        <v>11.1</v>
      </c>
      <c r="I21" s="25" t="n">
        <v>1.4</v>
      </c>
      <c r="J21" s="12" t="n">
        <v>16.9</v>
      </c>
      <c r="K21" s="26" t="n">
        <v>17</v>
      </c>
      <c r="L21" s="24" t="inlineStr">
        <is>
          <t>Small wooden unit</t>
        </is>
      </c>
    </row>
    <row r="22">
      <c r="A22" s="27" t="inlineStr">
        <is>
          <t>Furniture</t>
        </is>
      </c>
      <c r="B22" s="27" t="inlineStr">
        <is>
          <t>Storage</t>
        </is>
      </c>
      <c r="C22" s="27" t="inlineStr">
        <is>
          <t>Bookshelf — tall</t>
        </is>
      </c>
      <c r="D22" s="28" t="n">
        <v>25</v>
      </c>
      <c r="E22" s="28" t="n">
        <v>1</v>
      </c>
      <c r="F22" s="28" t="n">
        <v>0.925</v>
      </c>
      <c r="G22" s="28" t="n">
        <v>25</v>
      </c>
      <c r="H22" s="28" t="n">
        <v>23.1</v>
      </c>
      <c r="I22" s="28" t="n">
        <v>1.4</v>
      </c>
      <c r="J22" s="29" t="n">
        <v>36.7</v>
      </c>
      <c r="K22" s="30" t="n">
        <v>37</v>
      </c>
      <c r="L22" s="27" t="inlineStr">
        <is>
          <t>5-6 shelf</t>
        </is>
      </c>
    </row>
    <row r="23">
      <c r="A23" s="24" t="inlineStr">
        <is>
          <t>Furniture</t>
        </is>
      </c>
      <c r="B23" s="24" t="inlineStr">
        <is>
          <t>Storage</t>
        </is>
      </c>
      <c r="C23" s="24" t="inlineStr">
        <is>
          <t>Bookshelf — small</t>
        </is>
      </c>
      <c r="D23" s="25" t="n">
        <v>12</v>
      </c>
      <c r="E23" s="25" t="n">
        <v>1</v>
      </c>
      <c r="F23" s="25" t="n">
        <v>0.925</v>
      </c>
      <c r="G23" s="25" t="n">
        <v>12</v>
      </c>
      <c r="H23" s="25" t="n">
        <v>11.1</v>
      </c>
      <c r="I23" s="25" t="n">
        <v>1.4</v>
      </c>
      <c r="J23" s="12" t="n">
        <v>16.9</v>
      </c>
      <c r="K23" s="26" t="n">
        <v>17</v>
      </c>
      <c r="L23" s="24" t="inlineStr">
        <is>
          <t>3-shelf</t>
        </is>
      </c>
    </row>
    <row r="24">
      <c r="A24" s="27" t="inlineStr">
        <is>
          <t>Furniture</t>
        </is>
      </c>
      <c r="B24" s="27" t="inlineStr">
        <is>
          <t>Storage</t>
        </is>
      </c>
      <c r="C24" s="27" t="inlineStr">
        <is>
          <t>Shoe rack / cabinet</t>
        </is>
      </c>
      <c r="D24" s="28" t="n">
        <v>15</v>
      </c>
      <c r="E24" s="28" t="n">
        <v>1</v>
      </c>
      <c r="F24" s="28" t="n">
        <v>0.925</v>
      </c>
      <c r="G24" s="28" t="n">
        <v>15</v>
      </c>
      <c r="H24" s="28" t="n">
        <v>13.9</v>
      </c>
      <c r="I24" s="28" t="n">
        <v>1.4</v>
      </c>
      <c r="J24" s="29" t="n">
        <v>21.5</v>
      </c>
      <c r="K24" s="30" t="n">
        <v>22</v>
      </c>
      <c r="L24" s="27" t="inlineStr">
        <is>
          <t>Wooden or mixed</t>
        </is>
      </c>
    </row>
    <row r="25">
      <c r="A25" s="24" t="inlineStr">
        <is>
          <t>Furniture</t>
        </is>
      </c>
      <c r="B25" s="24" t="inlineStr">
        <is>
          <t>Storage</t>
        </is>
      </c>
      <c r="C25" s="24" t="inlineStr">
        <is>
          <t>Sideboard</t>
        </is>
      </c>
      <c r="D25" s="25" t="n">
        <v>40</v>
      </c>
      <c r="E25" s="25" t="n">
        <v>1</v>
      </c>
      <c r="F25" s="25" t="n">
        <v>0.925</v>
      </c>
      <c r="G25" s="25" t="n">
        <v>40</v>
      </c>
      <c r="H25" s="25" t="n">
        <v>37</v>
      </c>
      <c r="I25" s="25" t="n">
        <v>1.4</v>
      </c>
      <c r="J25" s="12" t="n">
        <v>59.6</v>
      </c>
      <c r="K25" s="26" t="n">
        <v>60</v>
      </c>
      <c r="L25" s="24" t="inlineStr">
        <is>
          <t>Living/dining storage</t>
        </is>
      </c>
    </row>
    <row r="26">
      <c r="A26" s="27" t="inlineStr">
        <is>
          <t>Furniture</t>
        </is>
      </c>
      <c r="B26" s="27" t="inlineStr">
        <is>
          <t>Storage</t>
        </is>
      </c>
      <c r="C26" s="27" t="inlineStr">
        <is>
          <t>TV stand / unit</t>
        </is>
      </c>
      <c r="D26" s="28" t="n">
        <v>25</v>
      </c>
      <c r="E26" s="28" t="n">
        <v>1</v>
      </c>
      <c r="F26" s="28" t="n">
        <v>0.925</v>
      </c>
      <c r="G26" s="28" t="n">
        <v>25</v>
      </c>
      <c r="H26" s="28" t="n">
        <v>23.1</v>
      </c>
      <c r="I26" s="28" t="n">
        <v>1.4</v>
      </c>
      <c r="J26" s="29" t="n">
        <v>36.7</v>
      </c>
      <c r="K26" s="30" t="n">
        <v>37</v>
      </c>
      <c r="L26" s="27" t="inlineStr">
        <is>
          <t>Engineered wood typical</t>
        </is>
      </c>
    </row>
    <row r="27">
      <c r="A27" s="24" t="inlineStr">
        <is>
          <t>Furniture</t>
        </is>
      </c>
      <c r="B27" s="24" t="inlineStr">
        <is>
          <t>Storage</t>
        </is>
      </c>
      <c r="C27" s="24" t="inlineStr">
        <is>
          <t>Filing cabinet — metal</t>
        </is>
      </c>
      <c r="D27" s="25" t="n">
        <v>30</v>
      </c>
      <c r="E27" s="25" t="n">
        <v>4</v>
      </c>
      <c r="F27" s="25" t="n">
        <v>0.1</v>
      </c>
      <c r="G27" s="25" t="n">
        <v>120</v>
      </c>
      <c r="H27" s="25" t="n">
        <v>3</v>
      </c>
      <c r="I27" s="25" t="n">
        <v>1.4</v>
      </c>
      <c r="J27" s="12" t="n">
        <v>73.59999999999999</v>
      </c>
      <c r="K27" s="26" t="n">
        <v>74</v>
      </c>
      <c r="L27" s="24" t="inlineStr">
        <is>
          <t>Steel, DEFRA material factor</t>
        </is>
      </c>
    </row>
    <row r="28">
      <c r="A28" s="27" t="inlineStr">
        <is>
          <t>Furniture</t>
        </is>
      </c>
      <c r="B28" s="27" t="inlineStr">
        <is>
          <t>Storage</t>
        </is>
      </c>
      <c r="C28" s="27" t="inlineStr">
        <is>
          <t>Filing cabinet — wooden</t>
        </is>
      </c>
      <c r="D28" s="28" t="n">
        <v>25</v>
      </c>
      <c r="E28" s="28" t="n">
        <v>1</v>
      </c>
      <c r="F28" s="28" t="n">
        <v>0.925</v>
      </c>
      <c r="G28" s="28" t="n">
        <v>25</v>
      </c>
      <c r="H28" s="28" t="n">
        <v>23.1</v>
      </c>
      <c r="I28" s="28" t="n">
        <v>1.4</v>
      </c>
      <c r="J28" s="29" t="n">
        <v>36.7</v>
      </c>
      <c r="K28" s="30" t="n">
        <v>37</v>
      </c>
      <c r="L28" s="27" t="inlineStr">
        <is>
          <t>Wooden construction</t>
        </is>
      </c>
    </row>
    <row r="29">
      <c r="A29" s="24" t="inlineStr">
        <is>
          <t>Furniture</t>
        </is>
      </c>
      <c r="B29" s="24" t="inlineStr">
        <is>
          <t>Tables &amp; desks</t>
        </is>
      </c>
      <c r="C29" s="24" t="inlineStr">
        <is>
          <t>Dining table — 4-seater</t>
        </is>
      </c>
      <c r="D29" s="25" t="n">
        <v>35</v>
      </c>
      <c r="E29" s="25" t="n">
        <v>1</v>
      </c>
      <c r="F29" s="25" t="n">
        <v>0.925</v>
      </c>
      <c r="G29" s="25" t="n">
        <v>35</v>
      </c>
      <c r="H29" s="25" t="n">
        <v>32.4</v>
      </c>
      <c r="I29" s="25" t="n">
        <v>1.4</v>
      </c>
      <c r="J29" s="12" t="n">
        <v>52</v>
      </c>
      <c r="K29" s="26" t="n">
        <v>52</v>
      </c>
      <c r="L29" s="24" t="inlineStr">
        <is>
          <t>Solid wood typical</t>
        </is>
      </c>
    </row>
    <row r="30">
      <c r="A30" s="27" t="inlineStr">
        <is>
          <t>Furniture</t>
        </is>
      </c>
      <c r="B30" s="27" t="inlineStr">
        <is>
          <t>Tables &amp; desks</t>
        </is>
      </c>
      <c r="C30" s="27" t="inlineStr">
        <is>
          <t>Dining table — 6-seater</t>
        </is>
      </c>
      <c r="D30" s="28" t="n">
        <v>55</v>
      </c>
      <c r="E30" s="28" t="n">
        <v>1</v>
      </c>
      <c r="F30" s="28" t="n">
        <v>0.925</v>
      </c>
      <c r="G30" s="28" t="n">
        <v>55</v>
      </c>
      <c r="H30" s="28" t="n">
        <v>50.9</v>
      </c>
      <c r="I30" s="28" t="n">
        <v>1.4</v>
      </c>
      <c r="J30" s="29" t="n">
        <v>82.5</v>
      </c>
      <c r="K30" s="30" t="n">
        <v>82</v>
      </c>
      <c r="L30" s="27" t="inlineStr">
        <is>
          <t>Larger dining</t>
        </is>
      </c>
    </row>
    <row r="31">
      <c r="A31" s="24" t="inlineStr">
        <is>
          <t>Furniture</t>
        </is>
      </c>
      <c r="B31" s="24" t="inlineStr">
        <is>
          <t>Tables &amp; desks</t>
        </is>
      </c>
      <c r="C31" s="24" t="inlineStr">
        <is>
          <t>Coffee table</t>
        </is>
      </c>
      <c r="D31" s="25" t="n">
        <v>15</v>
      </c>
      <c r="E31" s="25" t="n">
        <v>1</v>
      </c>
      <c r="F31" s="25" t="n">
        <v>0.925</v>
      </c>
      <c r="G31" s="25" t="n">
        <v>15</v>
      </c>
      <c r="H31" s="25" t="n">
        <v>13.9</v>
      </c>
      <c r="I31" s="25" t="n">
        <v>1.4</v>
      </c>
      <c r="J31" s="12" t="n">
        <v>21.5</v>
      </c>
      <c r="K31" s="26" t="n">
        <v>22</v>
      </c>
      <c r="L31" s="24" t="inlineStr">
        <is>
          <t>Wooden or mixed</t>
        </is>
      </c>
    </row>
    <row r="32">
      <c r="A32" s="27" t="inlineStr">
        <is>
          <t>Furniture</t>
        </is>
      </c>
      <c r="B32" s="27" t="inlineStr">
        <is>
          <t>Tables &amp; desks</t>
        </is>
      </c>
      <c r="C32" s="27" t="inlineStr">
        <is>
          <t>Side table</t>
        </is>
      </c>
      <c r="D32" s="28" t="n">
        <v>8</v>
      </c>
      <c r="E32" s="28" t="n">
        <v>1</v>
      </c>
      <c r="F32" s="28" t="n">
        <v>0.925</v>
      </c>
      <c r="G32" s="28" t="n">
        <v>8</v>
      </c>
      <c r="H32" s="28" t="n">
        <v>7.4</v>
      </c>
      <c r="I32" s="28" t="n">
        <v>1.4</v>
      </c>
      <c r="J32" s="29" t="n">
        <v>10.8</v>
      </c>
      <c r="K32" s="30" t="n">
        <v>11</v>
      </c>
      <c r="L32" s="27" t="inlineStr">
        <is>
          <t>Small occasional table</t>
        </is>
      </c>
    </row>
    <row r="33">
      <c r="A33" s="24" t="inlineStr">
        <is>
          <t>Furniture</t>
        </is>
      </c>
      <c r="B33" s="24" t="inlineStr">
        <is>
          <t>Tables &amp; desks</t>
        </is>
      </c>
      <c r="C33" s="24" t="inlineStr">
        <is>
          <t>Desk — home office</t>
        </is>
      </c>
      <c r="D33" s="25" t="n">
        <v>25</v>
      </c>
      <c r="E33" s="25" t="n">
        <v>1</v>
      </c>
      <c r="F33" s="25" t="n">
        <v>0.925</v>
      </c>
      <c r="G33" s="25" t="n">
        <v>25</v>
      </c>
      <c r="H33" s="25" t="n">
        <v>23.1</v>
      </c>
      <c r="I33" s="25" t="n">
        <v>1.4</v>
      </c>
      <c r="J33" s="12" t="n">
        <v>36.7</v>
      </c>
      <c r="K33" s="26" t="n">
        <v>37</v>
      </c>
      <c r="L33" s="24" t="inlineStr">
        <is>
          <t>Wooden or engineered</t>
        </is>
      </c>
    </row>
    <row r="34">
      <c r="A34" s="27" t="inlineStr">
        <is>
          <t>Furniture</t>
        </is>
      </c>
      <c r="B34" s="27" t="inlineStr">
        <is>
          <t>Tables &amp; desks</t>
        </is>
      </c>
      <c r="C34" s="27" t="inlineStr">
        <is>
          <t>Desk — large / executive</t>
        </is>
      </c>
      <c r="D34" s="28" t="n">
        <v>45</v>
      </c>
      <c r="E34" s="28" t="n">
        <v>1.2</v>
      </c>
      <c r="F34" s="28" t="n">
        <v>0.925</v>
      </c>
      <c r="G34" s="28" t="n">
        <v>54</v>
      </c>
      <c r="H34" s="28" t="n">
        <v>41.6</v>
      </c>
      <c r="I34" s="28" t="n">
        <v>1.4</v>
      </c>
      <c r="J34" s="29" t="n">
        <v>72.59999999999999</v>
      </c>
      <c r="K34" s="30" t="n">
        <v>73</v>
      </c>
      <c r="L34" s="27" t="inlineStr">
        <is>
          <t>Solid wood, heavier construction</t>
        </is>
      </c>
    </row>
    <row r="35">
      <c r="A35" s="24" t="inlineStr">
        <is>
          <t>Furniture</t>
        </is>
      </c>
      <c r="B35" s="24" t="inlineStr">
        <is>
          <t>Tables &amp; desks</t>
        </is>
      </c>
      <c r="C35" s="24" t="inlineStr">
        <is>
          <t>Console table</t>
        </is>
      </c>
      <c r="D35" s="25" t="n">
        <v>20</v>
      </c>
      <c r="E35" s="25" t="n">
        <v>1</v>
      </c>
      <c r="F35" s="25" t="n">
        <v>0.925</v>
      </c>
      <c r="G35" s="25" t="n">
        <v>20</v>
      </c>
      <c r="H35" s="25" t="n">
        <v>18.5</v>
      </c>
      <c r="I35" s="25" t="n">
        <v>1.4</v>
      </c>
      <c r="J35" s="12" t="n">
        <v>29.1</v>
      </c>
      <c r="K35" s="26" t="n">
        <v>29</v>
      </c>
      <c r="L35" s="24" t="inlineStr">
        <is>
          <t>Narrow hallway table</t>
        </is>
      </c>
    </row>
    <row r="36">
      <c r="A36" s="27" t="inlineStr">
        <is>
          <t>Furniture</t>
        </is>
      </c>
      <c r="B36" s="27" t="inlineStr">
        <is>
          <t>Seating</t>
        </is>
      </c>
      <c r="C36" s="27" t="inlineStr">
        <is>
          <t>Dining chair — wooden</t>
        </is>
      </c>
      <c r="D36" s="28" t="n">
        <v>6</v>
      </c>
      <c r="E36" s="28" t="n">
        <v>1</v>
      </c>
      <c r="F36" s="28" t="n">
        <v>0.925</v>
      </c>
      <c r="G36" s="28" t="n">
        <v>6</v>
      </c>
      <c r="H36" s="28" t="n">
        <v>5.6</v>
      </c>
      <c r="I36" s="28" t="n">
        <v>1.4</v>
      </c>
      <c r="J36" s="29" t="n">
        <v>7.8</v>
      </c>
      <c r="K36" s="30" t="n">
        <v>8</v>
      </c>
      <c r="L36" s="27" t="inlineStr">
        <is>
          <t>Solid wood, per chair</t>
        </is>
      </c>
    </row>
    <row r="37">
      <c r="A37" s="24" t="inlineStr">
        <is>
          <t>Furniture</t>
        </is>
      </c>
      <c r="B37" s="24" t="inlineStr">
        <is>
          <t>Seating</t>
        </is>
      </c>
      <c r="C37" s="24" t="inlineStr">
        <is>
          <t>Dining chair — upholstered</t>
        </is>
      </c>
      <c r="D37" s="25" t="n">
        <v>8</v>
      </c>
      <c r="E37" s="25" t="n">
        <v>2.5</v>
      </c>
      <c r="F37" s="25" t="n">
        <v>0.6</v>
      </c>
      <c r="G37" s="25" t="n">
        <v>20</v>
      </c>
      <c r="H37" s="25" t="n">
        <v>4.8</v>
      </c>
      <c r="I37" s="25" t="n">
        <v>1.4</v>
      </c>
      <c r="J37" s="12" t="n">
        <v>15.4</v>
      </c>
      <c r="K37" s="26" t="n">
        <v>15</v>
      </c>
      <c r="L37" s="24" t="inlineStr">
        <is>
          <t>Mixed materials</t>
        </is>
      </c>
    </row>
    <row r="38">
      <c r="A38" s="27" t="inlineStr">
        <is>
          <t>Furniture</t>
        </is>
      </c>
      <c r="B38" s="27" t="inlineStr">
        <is>
          <t>Seating</t>
        </is>
      </c>
      <c r="C38" s="27" t="inlineStr">
        <is>
          <t>Office chair</t>
        </is>
      </c>
      <c r="D38" s="28" t="n">
        <v>15</v>
      </c>
      <c r="E38" s="28" t="n">
        <v>4</v>
      </c>
      <c r="F38" s="28" t="n">
        <v>0.2</v>
      </c>
      <c r="G38" s="28" t="n">
        <v>60</v>
      </c>
      <c r="H38" s="28" t="n">
        <v>3</v>
      </c>
      <c r="I38" s="28" t="n">
        <v>1.4</v>
      </c>
      <c r="J38" s="29" t="n">
        <v>37.6</v>
      </c>
      <c r="K38" s="30" t="n">
        <v>38</v>
      </c>
      <c r="L38" s="27" t="inlineStr">
        <is>
          <t>Mixed metal/plastic/fabric</t>
        </is>
      </c>
    </row>
    <row r="39">
      <c r="A39" s="24" t="inlineStr">
        <is>
          <t>Furniture</t>
        </is>
      </c>
      <c r="B39" s="24" t="inlineStr">
        <is>
          <t>Seating</t>
        </is>
      </c>
      <c r="C39" s="24" t="inlineStr">
        <is>
          <t>Bar stool</t>
        </is>
      </c>
      <c r="D39" s="25" t="n">
        <v>8</v>
      </c>
      <c r="E39" s="25" t="n">
        <v>1.5</v>
      </c>
      <c r="F39" s="25" t="n">
        <v>0.4</v>
      </c>
      <c r="G39" s="25" t="n">
        <v>12</v>
      </c>
      <c r="H39" s="25" t="n">
        <v>3.2</v>
      </c>
      <c r="I39" s="25" t="n">
        <v>1.4</v>
      </c>
      <c r="J39" s="12" t="n">
        <v>9</v>
      </c>
      <c r="K39" s="26" t="n">
        <v>9</v>
      </c>
      <c r="L39" s="24" t="inlineStr">
        <is>
          <t>Mixed wood/metal</t>
        </is>
      </c>
    </row>
    <row r="40">
      <c r="A40" s="27" t="inlineStr">
        <is>
          <t>Furniture</t>
        </is>
      </c>
      <c r="B40" s="27" t="inlineStr">
        <is>
          <t>Seating</t>
        </is>
      </c>
      <c r="C40" s="27" t="inlineStr">
        <is>
          <t>Bench — wooden</t>
        </is>
      </c>
      <c r="D40" s="28" t="n">
        <v>20</v>
      </c>
      <c r="E40" s="28" t="n">
        <v>1</v>
      </c>
      <c r="F40" s="28" t="n">
        <v>0.925</v>
      </c>
      <c r="G40" s="28" t="n">
        <v>20</v>
      </c>
      <c r="H40" s="28" t="n">
        <v>18.5</v>
      </c>
      <c r="I40" s="28" t="n">
        <v>1.4</v>
      </c>
      <c r="J40" s="29" t="n">
        <v>29.1</v>
      </c>
      <c r="K40" s="30" t="n">
        <v>29</v>
      </c>
      <c r="L40" s="27" t="inlineStr">
        <is>
          <t>Solid wood seating</t>
        </is>
      </c>
    </row>
    <row r="41">
      <c r="A41" s="24" t="inlineStr">
        <is>
          <t>WEEE</t>
        </is>
      </c>
      <c r="B41" s="24" t="inlineStr">
        <is>
          <t>Large appliances</t>
        </is>
      </c>
      <c r="C41" s="24" t="inlineStr">
        <is>
          <t>Fridge freezer</t>
        </is>
      </c>
      <c r="D41" s="25" t="n">
        <v>60</v>
      </c>
      <c r="E41" s="25" t="n">
        <v>4</v>
      </c>
      <c r="F41" s="25" t="n">
        <v>0.05</v>
      </c>
      <c r="G41" s="25" t="n">
        <v>240</v>
      </c>
      <c r="H41" s="25" t="n">
        <v>3</v>
      </c>
      <c r="I41" s="25" t="n">
        <v>1.4</v>
      </c>
      <c r="J41" s="12" t="n">
        <v>145.6</v>
      </c>
      <c r="K41" s="26" t="n">
        <v>146</v>
      </c>
      <c r="L41" s="24" t="inlineStr">
        <is>
          <t>CarbonWARM2 WEEE factor, mostly recycled</t>
        </is>
      </c>
    </row>
    <row r="42">
      <c r="A42" s="27" t="inlineStr">
        <is>
          <t>WEEE</t>
        </is>
      </c>
      <c r="B42" s="27" t="inlineStr">
        <is>
          <t>Large appliances</t>
        </is>
      </c>
      <c r="C42" s="27" t="inlineStr">
        <is>
          <t>Fridge — standalone</t>
        </is>
      </c>
      <c r="D42" s="28" t="n">
        <v>45</v>
      </c>
      <c r="E42" s="28" t="n">
        <v>4</v>
      </c>
      <c r="F42" s="28" t="n">
        <v>0.05</v>
      </c>
      <c r="G42" s="28" t="n">
        <v>180</v>
      </c>
      <c r="H42" s="28" t="n">
        <v>2.2</v>
      </c>
      <c r="I42" s="28" t="n">
        <v>1.4</v>
      </c>
      <c r="J42" s="29" t="n">
        <v>108.8</v>
      </c>
      <c r="K42" s="30" t="n">
        <v>109</v>
      </c>
      <c r="L42" s="27" t="inlineStr">
        <is>
          <t>CarbonWARM2 WEEE factor</t>
        </is>
      </c>
    </row>
    <row r="43">
      <c r="A43" s="24" t="inlineStr">
        <is>
          <t>WEEE</t>
        </is>
      </c>
      <c r="B43" s="24" t="inlineStr">
        <is>
          <t>Large appliances</t>
        </is>
      </c>
      <c r="C43" s="24" t="inlineStr">
        <is>
          <t>Chest freezer</t>
        </is>
      </c>
      <c r="D43" s="25" t="n">
        <v>55</v>
      </c>
      <c r="E43" s="25" t="n">
        <v>4</v>
      </c>
      <c r="F43" s="25" t="n">
        <v>0.05</v>
      </c>
      <c r="G43" s="25" t="n">
        <v>220</v>
      </c>
      <c r="H43" s="25" t="n">
        <v>2.8</v>
      </c>
      <c r="I43" s="25" t="n">
        <v>1.4</v>
      </c>
      <c r="J43" s="12" t="n">
        <v>133.3</v>
      </c>
      <c r="K43" s="26" t="n">
        <v>133</v>
      </c>
      <c r="L43" s="24" t="inlineStr">
        <is>
          <t>CarbonWARM2 WEEE factor</t>
        </is>
      </c>
    </row>
    <row r="44">
      <c r="A44" s="27" t="inlineStr">
        <is>
          <t>WEEE</t>
        </is>
      </c>
      <c r="B44" s="27" t="inlineStr">
        <is>
          <t>Large appliances</t>
        </is>
      </c>
      <c r="C44" s="27" t="inlineStr">
        <is>
          <t>Washing machine</t>
        </is>
      </c>
      <c r="D44" s="28" t="n">
        <v>70</v>
      </c>
      <c r="E44" s="28" t="n">
        <v>4</v>
      </c>
      <c r="F44" s="28" t="n">
        <v>0.05</v>
      </c>
      <c r="G44" s="28" t="n">
        <v>280</v>
      </c>
      <c r="H44" s="28" t="n">
        <v>3.5</v>
      </c>
      <c r="I44" s="28" t="n">
        <v>1.4</v>
      </c>
      <c r="J44" s="29" t="n">
        <v>170.1</v>
      </c>
      <c r="K44" s="30" t="n">
        <v>170</v>
      </c>
      <c r="L44" s="27" t="inlineStr">
        <is>
          <t>CarbonWARM2 WEEE factor</t>
        </is>
      </c>
    </row>
    <row r="45">
      <c r="A45" s="24" t="inlineStr">
        <is>
          <t>WEEE</t>
        </is>
      </c>
      <c r="B45" s="24" t="inlineStr">
        <is>
          <t>Large appliances</t>
        </is>
      </c>
      <c r="C45" s="24" t="inlineStr">
        <is>
          <t>Tumble dryer</t>
        </is>
      </c>
      <c r="D45" s="25" t="n">
        <v>45</v>
      </c>
      <c r="E45" s="25" t="n">
        <v>4</v>
      </c>
      <c r="F45" s="25" t="n">
        <v>0.05</v>
      </c>
      <c r="G45" s="25" t="n">
        <v>180</v>
      </c>
      <c r="H45" s="25" t="n">
        <v>2.2</v>
      </c>
      <c r="I45" s="25" t="n">
        <v>1.4</v>
      </c>
      <c r="J45" s="12" t="n">
        <v>108.8</v>
      </c>
      <c r="K45" s="26" t="n">
        <v>109</v>
      </c>
      <c r="L45" s="24" t="inlineStr">
        <is>
          <t>CarbonWARM2 WEEE factor</t>
        </is>
      </c>
    </row>
    <row r="46">
      <c r="A46" s="27" t="inlineStr">
        <is>
          <t>WEEE</t>
        </is>
      </c>
      <c r="B46" s="27" t="inlineStr">
        <is>
          <t>Large appliances</t>
        </is>
      </c>
      <c r="C46" s="27" t="inlineStr">
        <is>
          <t>Washer-dryer combo</t>
        </is>
      </c>
      <c r="D46" s="28" t="n">
        <v>75</v>
      </c>
      <c r="E46" s="28" t="n">
        <v>4.5</v>
      </c>
      <c r="F46" s="28" t="n">
        <v>0.05</v>
      </c>
      <c r="G46" s="28" t="n">
        <v>337.5</v>
      </c>
      <c r="H46" s="28" t="n">
        <v>3.8</v>
      </c>
      <c r="I46" s="28" t="n">
        <v>1.4</v>
      </c>
      <c r="J46" s="29" t="n">
        <v>204.8</v>
      </c>
      <c r="K46" s="30" t="n">
        <v>205</v>
      </c>
      <c r="L46" s="27" t="inlineStr">
        <is>
          <t>More complex, higher embodied</t>
        </is>
      </c>
    </row>
    <row r="47">
      <c r="A47" s="24" t="inlineStr">
        <is>
          <t>WEEE</t>
        </is>
      </c>
      <c r="B47" s="24" t="inlineStr">
        <is>
          <t>Large appliances</t>
        </is>
      </c>
      <c r="C47" s="24" t="inlineStr">
        <is>
          <t>Dishwasher</t>
        </is>
      </c>
      <c r="D47" s="25" t="n">
        <v>50</v>
      </c>
      <c r="E47" s="25" t="n">
        <v>4</v>
      </c>
      <c r="F47" s="25" t="n">
        <v>0.05</v>
      </c>
      <c r="G47" s="25" t="n">
        <v>200</v>
      </c>
      <c r="H47" s="25" t="n">
        <v>2.5</v>
      </c>
      <c r="I47" s="25" t="n">
        <v>1.4</v>
      </c>
      <c r="J47" s="12" t="n">
        <v>121.1</v>
      </c>
      <c r="K47" s="26" t="n">
        <v>121</v>
      </c>
      <c r="L47" s="24" t="inlineStr">
        <is>
          <t>CarbonWARM2 WEEE factor</t>
        </is>
      </c>
    </row>
    <row r="48">
      <c r="A48" s="27" t="inlineStr">
        <is>
          <t>WEEE</t>
        </is>
      </c>
      <c r="B48" s="27" t="inlineStr">
        <is>
          <t>Large appliances</t>
        </is>
      </c>
      <c r="C48" s="27" t="inlineStr">
        <is>
          <t>Oven — electric</t>
        </is>
      </c>
      <c r="D48" s="28" t="n">
        <v>40</v>
      </c>
      <c r="E48" s="28" t="n">
        <v>4</v>
      </c>
      <c r="F48" s="28" t="n">
        <v>0.05</v>
      </c>
      <c r="G48" s="28" t="n">
        <v>160</v>
      </c>
      <c r="H48" s="28" t="n">
        <v>2</v>
      </c>
      <c r="I48" s="28" t="n">
        <v>1.4</v>
      </c>
      <c r="J48" s="29" t="n">
        <v>96.59999999999999</v>
      </c>
      <c r="K48" s="30" t="n">
        <v>97</v>
      </c>
      <c r="L48" s="27" t="inlineStr">
        <is>
          <t>Built-in or standalone</t>
        </is>
      </c>
    </row>
    <row r="49">
      <c r="A49" s="24" t="inlineStr">
        <is>
          <t>WEEE</t>
        </is>
      </c>
      <c r="B49" s="24" t="inlineStr">
        <is>
          <t>Large appliances</t>
        </is>
      </c>
      <c r="C49" s="24" t="inlineStr">
        <is>
          <t>Oven — gas</t>
        </is>
      </c>
      <c r="D49" s="25" t="n">
        <v>45</v>
      </c>
      <c r="E49" s="25" t="n">
        <v>4.2</v>
      </c>
      <c r="F49" s="25" t="n">
        <v>0.05</v>
      </c>
      <c r="G49" s="25" t="n">
        <v>189</v>
      </c>
      <c r="H49" s="25" t="n">
        <v>2.2</v>
      </c>
      <c r="I49" s="25" t="n">
        <v>1.4</v>
      </c>
      <c r="J49" s="12" t="n">
        <v>114.2</v>
      </c>
      <c r="K49" s="26" t="n">
        <v>114</v>
      </c>
      <c r="L49" s="24" t="inlineStr">
        <is>
          <t>Higher embodied due to gas components</t>
        </is>
      </c>
    </row>
    <row r="50">
      <c r="A50" s="27" t="inlineStr">
        <is>
          <t>WEEE</t>
        </is>
      </c>
      <c r="B50" s="27" t="inlineStr">
        <is>
          <t>Large appliances</t>
        </is>
      </c>
      <c r="C50" s="27" t="inlineStr">
        <is>
          <t>Range cooker</t>
        </is>
      </c>
      <c r="D50" s="28" t="n">
        <v>80</v>
      </c>
      <c r="E50" s="28" t="n">
        <v>4.5</v>
      </c>
      <c r="F50" s="28" t="n">
        <v>0.05</v>
      </c>
      <c r="G50" s="28" t="n">
        <v>360</v>
      </c>
      <c r="H50" s="28" t="n">
        <v>4</v>
      </c>
      <c r="I50" s="28" t="n">
        <v>1.4</v>
      </c>
      <c r="J50" s="29" t="n">
        <v>218.6</v>
      </c>
      <c r="K50" s="30" t="n">
        <v>219</v>
      </c>
      <c r="L50" s="27" t="inlineStr">
        <is>
          <t>Large multi-oven unit</t>
        </is>
      </c>
    </row>
    <row r="51">
      <c r="A51" s="24" t="inlineStr">
        <is>
          <t>WEEE</t>
        </is>
      </c>
      <c r="B51" s="24" t="inlineStr">
        <is>
          <t>Large appliances</t>
        </is>
      </c>
      <c r="C51" s="24" t="inlineStr">
        <is>
          <t>Hob — electric</t>
        </is>
      </c>
      <c r="D51" s="25" t="n">
        <v>12</v>
      </c>
      <c r="E51" s="25" t="n">
        <v>5</v>
      </c>
      <c r="F51" s="25" t="n">
        <v>0.05</v>
      </c>
      <c r="G51" s="25" t="n">
        <v>60</v>
      </c>
      <c r="H51" s="25" t="n">
        <v>0.6</v>
      </c>
      <c r="I51" s="25" t="n">
        <v>1.4</v>
      </c>
      <c r="J51" s="12" t="n">
        <v>35.2</v>
      </c>
      <c r="K51" s="26" t="n">
        <v>35</v>
      </c>
      <c r="L51" s="24" t="inlineStr">
        <is>
          <t>Ceramic/induction</t>
        </is>
      </c>
    </row>
    <row r="52">
      <c r="A52" s="27" t="inlineStr">
        <is>
          <t>WEEE</t>
        </is>
      </c>
      <c r="B52" s="27" t="inlineStr">
        <is>
          <t>Large appliances</t>
        </is>
      </c>
      <c r="C52" s="27" t="inlineStr">
        <is>
          <t>Extractor hood</t>
        </is>
      </c>
      <c r="D52" s="28" t="n">
        <v>8</v>
      </c>
      <c r="E52" s="28" t="n">
        <v>5</v>
      </c>
      <c r="F52" s="28" t="n">
        <v>0.05</v>
      </c>
      <c r="G52" s="28" t="n">
        <v>40</v>
      </c>
      <c r="H52" s="28" t="n">
        <v>0.4</v>
      </c>
      <c r="I52" s="28" t="n">
        <v>1.4</v>
      </c>
      <c r="J52" s="29" t="n">
        <v>23</v>
      </c>
      <c r="K52" s="30" t="n">
        <v>23</v>
      </c>
      <c r="L52" s="27" t="inlineStr">
        <is>
          <t>Kitchen ventilation</t>
        </is>
      </c>
    </row>
    <row r="53">
      <c r="A53" s="24" t="inlineStr">
        <is>
          <t>WEEE</t>
        </is>
      </c>
      <c r="B53" s="24" t="inlineStr">
        <is>
          <t>Small appliances</t>
        </is>
      </c>
      <c r="C53" s="24" t="inlineStr">
        <is>
          <t>Microwave</t>
        </is>
      </c>
      <c r="D53" s="25" t="n">
        <v>12</v>
      </c>
      <c r="E53" s="25" t="n">
        <v>7</v>
      </c>
      <c r="F53" s="25" t="n">
        <v>0.1</v>
      </c>
      <c r="G53" s="25" t="n">
        <v>84</v>
      </c>
      <c r="H53" s="25" t="n">
        <v>1.2</v>
      </c>
      <c r="I53" s="25" t="n">
        <v>1.4</v>
      </c>
      <c r="J53" s="12" t="n">
        <v>50.2</v>
      </c>
      <c r="K53" s="26" t="n">
        <v>50</v>
      </c>
      <c r="L53" s="24" t="inlineStr">
        <is>
          <t>CarbonWARM2 small WEEE avg</t>
        </is>
      </c>
    </row>
    <row r="54">
      <c r="A54" s="27" t="inlineStr">
        <is>
          <t>WEEE</t>
        </is>
      </c>
      <c r="B54" s="27" t="inlineStr">
        <is>
          <t>Small appliances</t>
        </is>
      </c>
      <c r="C54" s="27" t="inlineStr">
        <is>
          <t>Kettle</t>
        </is>
      </c>
      <c r="D54" s="28" t="n">
        <v>1</v>
      </c>
      <c r="E54" s="28" t="n">
        <v>8</v>
      </c>
      <c r="F54" s="28" t="n">
        <v>0.1</v>
      </c>
      <c r="G54" s="28" t="n">
        <v>8</v>
      </c>
      <c r="H54" s="28" t="n">
        <v>0.1</v>
      </c>
      <c r="I54" s="28" t="n">
        <v>1.4</v>
      </c>
      <c r="J54" s="29" t="n">
        <v>3.5</v>
      </c>
      <c r="K54" s="30" t="n">
        <v>4</v>
      </c>
      <c r="L54" s="27" t="inlineStr">
        <is>
          <t>Small electrical</t>
        </is>
      </c>
    </row>
    <row r="55">
      <c r="A55" s="24" t="inlineStr">
        <is>
          <t>WEEE</t>
        </is>
      </c>
      <c r="B55" s="24" t="inlineStr">
        <is>
          <t>Small appliances</t>
        </is>
      </c>
      <c r="C55" s="24" t="inlineStr">
        <is>
          <t>Toaster</t>
        </is>
      </c>
      <c r="D55" s="25" t="n">
        <v>2</v>
      </c>
      <c r="E55" s="25" t="n">
        <v>8</v>
      </c>
      <c r="F55" s="25" t="n">
        <v>0.1</v>
      </c>
      <c r="G55" s="25" t="n">
        <v>16</v>
      </c>
      <c r="H55" s="25" t="n">
        <v>0.2</v>
      </c>
      <c r="I55" s="25" t="n">
        <v>1.4</v>
      </c>
      <c r="J55" s="12" t="n">
        <v>8.4</v>
      </c>
      <c r="K55" s="26" t="n">
        <v>8</v>
      </c>
      <c r="L55" s="24" t="inlineStr">
        <is>
          <t>Small electrical</t>
        </is>
      </c>
    </row>
    <row r="56">
      <c r="A56" s="27" t="inlineStr">
        <is>
          <t>WEEE</t>
        </is>
      </c>
      <c r="B56" s="27" t="inlineStr">
        <is>
          <t>Small appliances</t>
        </is>
      </c>
      <c r="C56" s="27" t="inlineStr">
        <is>
          <t>Coffee machine</t>
        </is>
      </c>
      <c r="D56" s="28" t="n">
        <v>4</v>
      </c>
      <c r="E56" s="28" t="n">
        <v>7.5</v>
      </c>
      <c r="F56" s="28" t="n">
        <v>0.1</v>
      </c>
      <c r="G56" s="28" t="n">
        <v>30</v>
      </c>
      <c r="H56" s="28" t="n">
        <v>0.4</v>
      </c>
      <c r="I56" s="28" t="n">
        <v>1.4</v>
      </c>
      <c r="J56" s="29" t="n">
        <v>17</v>
      </c>
      <c r="K56" s="30" t="n">
        <v>17</v>
      </c>
      <c r="L56" s="27" t="inlineStr">
        <is>
          <t>Bean-to-cup or pod</t>
        </is>
      </c>
    </row>
    <row r="57">
      <c r="A57" s="24" t="inlineStr">
        <is>
          <t>WEEE</t>
        </is>
      </c>
      <c r="B57" s="24" t="inlineStr">
        <is>
          <t>Small appliances</t>
        </is>
      </c>
      <c r="C57" s="24" t="inlineStr">
        <is>
          <t>Air fryer</t>
        </is>
      </c>
      <c r="D57" s="25" t="n">
        <v>6</v>
      </c>
      <c r="E57" s="25" t="n">
        <v>7</v>
      </c>
      <c r="F57" s="25" t="n">
        <v>0.1</v>
      </c>
      <c r="G57" s="25" t="n">
        <v>42</v>
      </c>
      <c r="H57" s="25" t="n">
        <v>0.6</v>
      </c>
      <c r="I57" s="25" t="n">
        <v>1.4</v>
      </c>
      <c r="J57" s="12" t="n">
        <v>24.4</v>
      </c>
      <c r="K57" s="26" t="n">
        <v>24</v>
      </c>
      <c r="L57" s="24" t="inlineStr">
        <is>
          <t>Counter-top appliance</t>
        </is>
      </c>
    </row>
    <row r="58">
      <c r="A58" s="27" t="inlineStr">
        <is>
          <t>WEEE</t>
        </is>
      </c>
      <c r="B58" s="27" t="inlineStr">
        <is>
          <t>Small appliances</t>
        </is>
      </c>
      <c r="C58" s="27" t="inlineStr">
        <is>
          <t>Slow cooker</t>
        </is>
      </c>
      <c r="D58" s="28" t="n">
        <v>4</v>
      </c>
      <c r="E58" s="28" t="n">
        <v>6</v>
      </c>
      <c r="F58" s="28" t="n">
        <v>0.1</v>
      </c>
      <c r="G58" s="28" t="n">
        <v>24</v>
      </c>
      <c r="H58" s="28" t="n">
        <v>0.4</v>
      </c>
      <c r="I58" s="28" t="n">
        <v>1.4</v>
      </c>
      <c r="J58" s="29" t="n">
        <v>13.4</v>
      </c>
      <c r="K58" s="30" t="n">
        <v>13</v>
      </c>
      <c r="L58" s="27" t="inlineStr">
        <is>
          <t>Counter-top appliance</t>
        </is>
      </c>
    </row>
    <row r="59">
      <c r="A59" s="24" t="inlineStr">
        <is>
          <t>WEEE</t>
        </is>
      </c>
      <c r="B59" s="24" t="inlineStr">
        <is>
          <t>Small appliances</t>
        </is>
      </c>
      <c r="C59" s="24" t="inlineStr">
        <is>
          <t>Food processor / blender</t>
        </is>
      </c>
      <c r="D59" s="25" t="n">
        <v>4</v>
      </c>
      <c r="E59" s="25" t="n">
        <v>7</v>
      </c>
      <c r="F59" s="25" t="n">
        <v>0.1</v>
      </c>
      <c r="G59" s="25" t="n">
        <v>28</v>
      </c>
      <c r="H59" s="25" t="n">
        <v>0.4</v>
      </c>
      <c r="I59" s="25" t="n">
        <v>1.4</v>
      </c>
      <c r="J59" s="12" t="n">
        <v>15.8</v>
      </c>
      <c r="K59" s="26" t="n">
        <v>16</v>
      </c>
      <c r="L59" s="24" t="inlineStr">
        <is>
          <t>Small kitchen electrical</t>
        </is>
      </c>
    </row>
    <row r="60">
      <c r="A60" s="27" t="inlineStr">
        <is>
          <t>WEEE</t>
        </is>
      </c>
      <c r="B60" s="27" t="inlineStr">
        <is>
          <t>Small appliances</t>
        </is>
      </c>
      <c r="C60" s="27" t="inlineStr">
        <is>
          <t>Stand mixer</t>
        </is>
      </c>
      <c r="D60" s="28" t="n">
        <v>10</v>
      </c>
      <c r="E60" s="28" t="n">
        <v>6.5</v>
      </c>
      <c r="F60" s="28" t="n">
        <v>0.1</v>
      </c>
      <c r="G60" s="28" t="n">
        <v>65</v>
      </c>
      <c r="H60" s="28" t="n">
        <v>1</v>
      </c>
      <c r="I60" s="28" t="n">
        <v>1.4</v>
      </c>
      <c r="J60" s="29" t="n">
        <v>38.6</v>
      </c>
      <c r="K60" s="30" t="n">
        <v>39</v>
      </c>
      <c r="L60" s="27" t="inlineStr">
        <is>
          <t>KitchenAid-type unit</t>
        </is>
      </c>
    </row>
    <row r="61">
      <c r="A61" s="24" t="inlineStr">
        <is>
          <t>WEEE</t>
        </is>
      </c>
      <c r="B61" s="24" t="inlineStr">
        <is>
          <t>Small appliances</t>
        </is>
      </c>
      <c r="C61" s="24" t="inlineStr">
        <is>
          <t>Vacuum cleaner — upright</t>
        </is>
      </c>
      <c r="D61" s="25" t="n">
        <v>8</v>
      </c>
      <c r="E61" s="25" t="n">
        <v>6</v>
      </c>
      <c r="F61" s="25" t="n">
        <v>0.2</v>
      </c>
      <c r="G61" s="25" t="n">
        <v>48</v>
      </c>
      <c r="H61" s="25" t="n">
        <v>1.6</v>
      </c>
      <c r="I61" s="25" t="n">
        <v>1.4</v>
      </c>
      <c r="J61" s="12" t="n">
        <v>29</v>
      </c>
      <c r="K61" s="26" t="n">
        <v>29</v>
      </c>
      <c r="L61" s="24" t="inlineStr">
        <is>
          <t>Mixed plastic/motor</t>
        </is>
      </c>
    </row>
    <row r="62">
      <c r="A62" s="27" t="inlineStr">
        <is>
          <t>WEEE</t>
        </is>
      </c>
      <c r="B62" s="27" t="inlineStr">
        <is>
          <t>Small appliances</t>
        </is>
      </c>
      <c r="C62" s="27" t="inlineStr">
        <is>
          <t>Vacuum cleaner — cordless</t>
        </is>
      </c>
      <c r="D62" s="28" t="n">
        <v>3</v>
      </c>
      <c r="E62" s="28" t="n">
        <v>8</v>
      </c>
      <c r="F62" s="28" t="n">
        <v>0.2</v>
      </c>
      <c r="G62" s="28" t="n">
        <v>24</v>
      </c>
      <c r="H62" s="28" t="n">
        <v>0.6</v>
      </c>
      <c r="I62" s="28" t="n">
        <v>1.4</v>
      </c>
      <c r="J62" s="29" t="n">
        <v>13.6</v>
      </c>
      <c r="K62" s="30" t="n">
        <v>14</v>
      </c>
      <c r="L62" s="27" t="inlineStr">
        <is>
          <t>Battery-powered, higher embodied</t>
        </is>
      </c>
    </row>
    <row r="63">
      <c r="A63" s="24" t="inlineStr">
        <is>
          <t>WEEE</t>
        </is>
      </c>
      <c r="B63" s="24" t="inlineStr">
        <is>
          <t>Small appliances</t>
        </is>
      </c>
      <c r="C63" s="24" t="inlineStr">
        <is>
          <t>Iron</t>
        </is>
      </c>
      <c r="D63" s="25" t="n">
        <v>1.5</v>
      </c>
      <c r="E63" s="25" t="n">
        <v>7</v>
      </c>
      <c r="F63" s="25" t="n">
        <v>0.1</v>
      </c>
      <c r="G63" s="25" t="n">
        <v>10.5</v>
      </c>
      <c r="H63" s="25" t="n">
        <v>0.2</v>
      </c>
      <c r="I63" s="25" t="n">
        <v>1.4</v>
      </c>
      <c r="J63" s="12" t="n">
        <v>5.1</v>
      </c>
      <c r="K63" s="26" t="n">
        <v>5</v>
      </c>
      <c r="L63" s="24" t="inlineStr">
        <is>
          <t>Small electrical</t>
        </is>
      </c>
    </row>
    <row r="64">
      <c r="A64" s="27" t="inlineStr">
        <is>
          <t>WEEE</t>
        </is>
      </c>
      <c r="B64" s="27" t="inlineStr">
        <is>
          <t>Small appliances</t>
        </is>
      </c>
      <c r="C64" s="27" t="inlineStr">
        <is>
          <t>Hair dryer</t>
        </is>
      </c>
      <c r="D64" s="28" t="n">
        <v>1</v>
      </c>
      <c r="E64" s="28" t="n">
        <v>8</v>
      </c>
      <c r="F64" s="28" t="n">
        <v>0.1</v>
      </c>
      <c r="G64" s="28" t="n">
        <v>8</v>
      </c>
      <c r="H64" s="28" t="n">
        <v>0.1</v>
      </c>
      <c r="I64" s="28" t="n">
        <v>1.4</v>
      </c>
      <c r="J64" s="29" t="n">
        <v>3.5</v>
      </c>
      <c r="K64" s="30" t="n">
        <v>4</v>
      </c>
      <c r="L64" s="27" t="inlineStr">
        <is>
          <t>Small electrical</t>
        </is>
      </c>
    </row>
    <row r="65">
      <c r="A65" s="24" t="inlineStr">
        <is>
          <t>WEEE</t>
        </is>
      </c>
      <c r="B65" s="24" t="inlineStr">
        <is>
          <t>Small appliances</t>
        </is>
      </c>
      <c r="C65" s="24" t="inlineStr">
        <is>
          <t>Heater — portable electric</t>
        </is>
      </c>
      <c r="D65" s="25" t="n">
        <v>5</v>
      </c>
      <c r="E65" s="25" t="n">
        <v>5</v>
      </c>
      <c r="F65" s="25" t="n">
        <v>0.1</v>
      </c>
      <c r="G65" s="25" t="n">
        <v>25</v>
      </c>
      <c r="H65" s="25" t="n">
        <v>0.5</v>
      </c>
      <c r="I65" s="25" t="n">
        <v>1.4</v>
      </c>
      <c r="J65" s="12" t="n">
        <v>14.1</v>
      </c>
      <c r="K65" s="26" t="n">
        <v>14</v>
      </c>
      <c r="L65" s="24" t="inlineStr">
        <is>
          <t>Fan or oil-filled</t>
        </is>
      </c>
    </row>
    <row r="66">
      <c r="A66" s="27" t="inlineStr">
        <is>
          <t>WEEE</t>
        </is>
      </c>
      <c r="B66" s="27" t="inlineStr">
        <is>
          <t>Small appliances</t>
        </is>
      </c>
      <c r="C66" s="27" t="inlineStr">
        <is>
          <t>Fan — pedestal / tower</t>
        </is>
      </c>
      <c r="D66" s="28" t="n">
        <v>4</v>
      </c>
      <c r="E66" s="28" t="n">
        <v>5</v>
      </c>
      <c r="F66" s="28" t="n">
        <v>0.1</v>
      </c>
      <c r="G66" s="28" t="n">
        <v>20</v>
      </c>
      <c r="H66" s="28" t="n">
        <v>0.4</v>
      </c>
      <c r="I66" s="28" t="n">
        <v>1.4</v>
      </c>
      <c r="J66" s="29" t="n">
        <v>11</v>
      </c>
      <c r="K66" s="30" t="n">
        <v>11</v>
      </c>
      <c r="L66" s="27" t="inlineStr">
        <is>
          <t>Domestic fan</t>
        </is>
      </c>
    </row>
    <row r="67">
      <c r="A67" s="24" t="inlineStr">
        <is>
          <t>WEEE</t>
        </is>
      </c>
      <c r="B67" s="24" t="inlineStr">
        <is>
          <t>Small appliances</t>
        </is>
      </c>
      <c r="C67" s="24" t="inlineStr">
        <is>
          <t>Dehumidifier</t>
        </is>
      </c>
      <c r="D67" s="25" t="n">
        <v>10</v>
      </c>
      <c r="E67" s="25" t="n">
        <v>6</v>
      </c>
      <c r="F67" s="25" t="n">
        <v>0.1</v>
      </c>
      <c r="G67" s="25" t="n">
        <v>60</v>
      </c>
      <c r="H67" s="25" t="n">
        <v>1</v>
      </c>
      <c r="I67" s="25" t="n">
        <v>1.4</v>
      </c>
      <c r="J67" s="12" t="n">
        <v>35.6</v>
      </c>
      <c r="K67" s="26" t="n">
        <v>36</v>
      </c>
      <c r="L67" s="24" t="inlineStr">
        <is>
          <t>Portable unit</t>
        </is>
      </c>
    </row>
    <row r="68">
      <c r="A68" s="27" t="inlineStr">
        <is>
          <t>WEEE</t>
        </is>
      </c>
      <c r="B68" s="27" t="inlineStr">
        <is>
          <t>IT equipment</t>
        </is>
      </c>
      <c r="C68" s="27" t="inlineStr">
        <is>
          <t>Desktop computer</t>
        </is>
      </c>
      <c r="D68" s="28" t="n">
        <v>10</v>
      </c>
      <c r="E68" s="28" t="n">
        <v>15</v>
      </c>
      <c r="F68" s="28" t="n">
        <v>0.1</v>
      </c>
      <c r="G68" s="28" t="n">
        <v>150</v>
      </c>
      <c r="H68" s="28" t="n">
        <v>1</v>
      </c>
      <c r="I68" s="28" t="n">
        <v>1.4</v>
      </c>
      <c r="J68" s="29" t="n">
        <v>89.59999999999999</v>
      </c>
      <c r="K68" s="30" t="n">
        <v>90</v>
      </c>
      <c r="L68" s="27" t="inlineStr">
        <is>
          <t>CarbonWARM2 IT factor, high embodied</t>
        </is>
      </c>
    </row>
    <row r="69">
      <c r="A69" s="24" t="inlineStr">
        <is>
          <t>WEEE</t>
        </is>
      </c>
      <c r="B69" s="24" t="inlineStr">
        <is>
          <t>IT equipment</t>
        </is>
      </c>
      <c r="C69" s="24" t="inlineStr">
        <is>
          <t>Laptop</t>
        </is>
      </c>
      <c r="D69" s="25" t="n">
        <v>2</v>
      </c>
      <c r="E69" s="25" t="n">
        <v>20</v>
      </c>
      <c r="F69" s="25" t="n">
        <v>0.1</v>
      </c>
      <c r="G69" s="25" t="n">
        <v>40</v>
      </c>
      <c r="H69" s="25" t="n">
        <v>0.2</v>
      </c>
      <c r="I69" s="25" t="n">
        <v>1.4</v>
      </c>
      <c r="J69" s="12" t="n">
        <v>22.8</v>
      </c>
      <c r="K69" s="26" t="n">
        <v>23</v>
      </c>
      <c r="L69" s="24" t="inlineStr">
        <is>
          <t>High embodied per kg</t>
        </is>
      </c>
    </row>
    <row r="70">
      <c r="A70" s="27" t="inlineStr">
        <is>
          <t>WEEE</t>
        </is>
      </c>
      <c r="B70" s="27" t="inlineStr">
        <is>
          <t>IT equipment</t>
        </is>
      </c>
      <c r="C70" s="27" t="inlineStr">
        <is>
          <t>Monitor — LCD/LED</t>
        </is>
      </c>
      <c r="D70" s="28" t="n">
        <v>6</v>
      </c>
      <c r="E70" s="28" t="n">
        <v>10</v>
      </c>
      <c r="F70" s="28" t="n">
        <v>0.1</v>
      </c>
      <c r="G70" s="28" t="n">
        <v>60</v>
      </c>
      <c r="H70" s="28" t="n">
        <v>0.6</v>
      </c>
      <c r="I70" s="28" t="n">
        <v>1.4</v>
      </c>
      <c r="J70" s="29" t="n">
        <v>35.2</v>
      </c>
      <c r="K70" s="30" t="n">
        <v>35</v>
      </c>
      <c r="L70" s="27" t="inlineStr">
        <is>
          <t>CarbonWARM2 display factor</t>
        </is>
      </c>
    </row>
    <row r="71">
      <c r="A71" s="24" t="inlineStr">
        <is>
          <t>WEEE</t>
        </is>
      </c>
      <c r="B71" s="24" t="inlineStr">
        <is>
          <t>IT equipment</t>
        </is>
      </c>
      <c r="C71" s="24" t="inlineStr">
        <is>
          <t>Monitor — large / 4K</t>
        </is>
      </c>
      <c r="D71" s="25" t="n">
        <v>10</v>
      </c>
      <c r="E71" s="25" t="n">
        <v>10</v>
      </c>
      <c r="F71" s="25" t="n">
        <v>0.1</v>
      </c>
      <c r="G71" s="25" t="n">
        <v>100</v>
      </c>
      <c r="H71" s="25" t="n">
        <v>1</v>
      </c>
      <c r="I71" s="25" t="n">
        <v>1.4</v>
      </c>
      <c r="J71" s="12" t="n">
        <v>59.6</v>
      </c>
      <c r="K71" s="26" t="n">
        <v>60</v>
      </c>
      <c r="L71" s="24" t="inlineStr">
        <is>
          <t>CarbonWARM2 display factor</t>
        </is>
      </c>
    </row>
    <row r="72">
      <c r="A72" s="27" t="inlineStr">
        <is>
          <t>WEEE</t>
        </is>
      </c>
      <c r="B72" s="27" t="inlineStr">
        <is>
          <t>IT equipment</t>
        </is>
      </c>
      <c r="C72" s="27" t="inlineStr">
        <is>
          <t>Printer — inkjet</t>
        </is>
      </c>
      <c r="D72" s="28" t="n">
        <v>5</v>
      </c>
      <c r="E72" s="28" t="n">
        <v>8</v>
      </c>
      <c r="F72" s="28" t="n">
        <v>0.1</v>
      </c>
      <c r="G72" s="28" t="n">
        <v>40</v>
      </c>
      <c r="H72" s="28" t="n">
        <v>0.5</v>
      </c>
      <c r="I72" s="28" t="n">
        <v>1.4</v>
      </c>
      <c r="J72" s="29" t="n">
        <v>23.1</v>
      </c>
      <c r="K72" s="30" t="n">
        <v>23</v>
      </c>
      <c r="L72" s="27" t="inlineStr">
        <is>
          <t>Small printer</t>
        </is>
      </c>
    </row>
    <row r="73">
      <c r="A73" s="24" t="inlineStr">
        <is>
          <t>WEEE</t>
        </is>
      </c>
      <c r="B73" s="24" t="inlineStr">
        <is>
          <t>IT equipment</t>
        </is>
      </c>
      <c r="C73" s="24" t="inlineStr">
        <is>
          <t>Printer — laser</t>
        </is>
      </c>
      <c r="D73" s="25" t="n">
        <v>12</v>
      </c>
      <c r="E73" s="25" t="n">
        <v>8</v>
      </c>
      <c r="F73" s="25" t="n">
        <v>0.1</v>
      </c>
      <c r="G73" s="25" t="n">
        <v>96</v>
      </c>
      <c r="H73" s="25" t="n">
        <v>1.2</v>
      </c>
      <c r="I73" s="25" t="n">
        <v>1.4</v>
      </c>
      <c r="J73" s="12" t="n">
        <v>57.4</v>
      </c>
      <c r="K73" s="26" t="n">
        <v>57</v>
      </c>
      <c r="L73" s="24" t="inlineStr">
        <is>
          <t>Larger printer</t>
        </is>
      </c>
    </row>
    <row r="74">
      <c r="A74" s="27" t="inlineStr">
        <is>
          <t>WEEE</t>
        </is>
      </c>
      <c r="B74" s="27" t="inlineStr">
        <is>
          <t>IT equipment</t>
        </is>
      </c>
      <c r="C74" s="27" t="inlineStr">
        <is>
          <t>Printer — multifunction</t>
        </is>
      </c>
      <c r="D74" s="28" t="n">
        <v>15</v>
      </c>
      <c r="E74" s="28" t="n">
        <v>8</v>
      </c>
      <c r="F74" s="28" t="n">
        <v>0.1</v>
      </c>
      <c r="G74" s="28" t="n">
        <v>120</v>
      </c>
      <c r="H74" s="28" t="n">
        <v>1.5</v>
      </c>
      <c r="I74" s="28" t="n">
        <v>1.4</v>
      </c>
      <c r="J74" s="29" t="n">
        <v>72.09999999999999</v>
      </c>
      <c r="K74" s="30" t="n">
        <v>72</v>
      </c>
      <c r="L74" s="27" t="inlineStr">
        <is>
          <t>All-in-one</t>
        </is>
      </c>
    </row>
    <row r="75">
      <c r="A75" s="24" t="inlineStr">
        <is>
          <t>WEEE</t>
        </is>
      </c>
      <c r="B75" s="24" t="inlineStr">
        <is>
          <t>IT equipment</t>
        </is>
      </c>
      <c r="C75" s="24" t="inlineStr">
        <is>
          <t>Tablet</t>
        </is>
      </c>
      <c r="D75" s="25" t="n">
        <v>0.6</v>
      </c>
      <c r="E75" s="25" t="n">
        <v>25</v>
      </c>
      <c r="F75" s="25" t="n">
        <v>0.1</v>
      </c>
      <c r="G75" s="25" t="n">
        <v>15</v>
      </c>
      <c r="H75" s="25" t="n">
        <v>0.1</v>
      </c>
      <c r="I75" s="25" t="n">
        <v>1.4</v>
      </c>
      <c r="J75" s="12" t="n">
        <v>7.7</v>
      </c>
      <c r="K75" s="26" t="n">
        <v>8</v>
      </c>
      <c r="L75" s="24" t="inlineStr">
        <is>
          <t>Very high embodied per kg</t>
        </is>
      </c>
    </row>
    <row r="76">
      <c r="A76" s="27" t="inlineStr">
        <is>
          <t>WEEE</t>
        </is>
      </c>
      <c r="B76" s="27" t="inlineStr">
        <is>
          <t>IT equipment</t>
        </is>
      </c>
      <c r="C76" s="27" t="inlineStr">
        <is>
          <t>Router / modem</t>
        </is>
      </c>
      <c r="D76" s="28" t="n">
        <v>0.5</v>
      </c>
      <c r="E76" s="28" t="n">
        <v>10</v>
      </c>
      <c r="F76" s="28" t="n">
        <v>0.1</v>
      </c>
      <c r="G76" s="28" t="n">
        <v>5</v>
      </c>
      <c r="H76" s="28" t="n">
        <v>0.1</v>
      </c>
      <c r="I76" s="28" t="n">
        <v>1.4</v>
      </c>
      <c r="J76" s="29" t="n">
        <v>1.6</v>
      </c>
      <c r="K76" s="30" t="n">
        <v>2</v>
      </c>
      <c r="L76" s="27" t="inlineStr">
        <is>
          <t>Small networking</t>
        </is>
      </c>
    </row>
    <row r="77">
      <c r="A77" s="24" t="inlineStr">
        <is>
          <t>WEEE</t>
        </is>
      </c>
      <c r="B77" s="24" t="inlineStr">
        <is>
          <t>IT equipment</t>
        </is>
      </c>
      <c r="C77" s="24" t="inlineStr">
        <is>
          <t>External hard drive</t>
        </is>
      </c>
      <c r="D77" s="25" t="n">
        <v>0.3</v>
      </c>
      <c r="E77" s="25" t="n">
        <v>12</v>
      </c>
      <c r="F77" s="25" t="n">
        <v>0.1</v>
      </c>
      <c r="G77" s="25" t="n">
        <v>3.6</v>
      </c>
      <c r="H77" s="25" t="n">
        <v>0</v>
      </c>
      <c r="I77" s="25" t="n">
        <v>1.4</v>
      </c>
      <c r="J77" s="12" t="n">
        <v>0.8</v>
      </c>
      <c r="K77" s="26" t="n">
        <v>1</v>
      </c>
      <c r="L77" s="24" t="inlineStr">
        <is>
          <t>Storage device</t>
        </is>
      </c>
    </row>
    <row r="78">
      <c r="A78" s="27" t="inlineStr">
        <is>
          <t>WEEE</t>
        </is>
      </c>
      <c r="B78" s="27" t="inlineStr">
        <is>
          <t>IT equipment</t>
        </is>
      </c>
      <c r="C78" s="27" t="inlineStr">
        <is>
          <t>Keyboard</t>
        </is>
      </c>
      <c r="D78" s="28" t="n">
        <v>0.8</v>
      </c>
      <c r="E78" s="28" t="n">
        <v>5</v>
      </c>
      <c r="F78" s="28" t="n">
        <v>0.1</v>
      </c>
      <c r="G78" s="28" t="n">
        <v>4</v>
      </c>
      <c r="H78" s="28" t="n">
        <v>0.1</v>
      </c>
      <c r="I78" s="28" t="n">
        <v>1.4</v>
      </c>
      <c r="J78" s="29" t="n">
        <v>1.1</v>
      </c>
      <c r="K78" s="30" t="n">
        <v>1</v>
      </c>
      <c r="L78" s="27" t="inlineStr">
        <is>
          <t>Peripheral</t>
        </is>
      </c>
    </row>
    <row r="79">
      <c r="A79" s="24" t="inlineStr">
        <is>
          <t>WEEE</t>
        </is>
      </c>
      <c r="B79" s="24" t="inlineStr">
        <is>
          <t>IT equipment</t>
        </is>
      </c>
      <c r="C79" s="24" t="inlineStr">
        <is>
          <t>Mouse</t>
        </is>
      </c>
      <c r="D79" s="25" t="n">
        <v>0.2</v>
      </c>
      <c r="E79" s="25" t="n">
        <v>5</v>
      </c>
      <c r="F79" s="25" t="n">
        <v>0.1</v>
      </c>
      <c r="G79" s="25" t="n">
        <v>1</v>
      </c>
      <c r="H79" s="25" t="n">
        <v>0</v>
      </c>
      <c r="I79" s="25" t="n">
        <v>1.4</v>
      </c>
      <c r="J79" s="12" t="n">
        <v>-0.8</v>
      </c>
      <c r="K79" s="26" t="n">
        <v>-1</v>
      </c>
      <c r="L79" s="24" t="inlineStr">
        <is>
          <t>Peripheral</t>
        </is>
      </c>
    </row>
    <row r="80">
      <c r="A80" s="27" t="inlineStr">
        <is>
          <t>WEEE</t>
        </is>
      </c>
      <c r="B80" s="27" t="inlineStr">
        <is>
          <t>Consumer electronics</t>
        </is>
      </c>
      <c r="C80" s="27" t="inlineStr">
        <is>
          <t>TV — 32-inch</t>
        </is>
      </c>
      <c r="D80" s="28" t="n">
        <v>8</v>
      </c>
      <c r="E80" s="28" t="n">
        <v>10</v>
      </c>
      <c r="F80" s="28" t="n">
        <v>0.1</v>
      </c>
      <c r="G80" s="28" t="n">
        <v>80</v>
      </c>
      <c r="H80" s="28" t="n">
        <v>0.8</v>
      </c>
      <c r="I80" s="28" t="n">
        <v>1.4</v>
      </c>
      <c r="J80" s="29" t="n">
        <v>47.4</v>
      </c>
      <c r="K80" s="30" t="n">
        <v>47</v>
      </c>
      <c r="L80" s="27" t="inlineStr">
        <is>
          <t>CarbonWARM2 display factor</t>
        </is>
      </c>
    </row>
    <row r="81">
      <c r="A81" s="24" t="inlineStr">
        <is>
          <t>WEEE</t>
        </is>
      </c>
      <c r="B81" s="24" t="inlineStr">
        <is>
          <t>Consumer electronics</t>
        </is>
      </c>
      <c r="C81" s="24" t="inlineStr">
        <is>
          <t>TV — 43-inch</t>
        </is>
      </c>
      <c r="D81" s="25" t="n">
        <v>10</v>
      </c>
      <c r="E81" s="25" t="n">
        <v>10</v>
      </c>
      <c r="F81" s="25" t="n">
        <v>0.1</v>
      </c>
      <c r="G81" s="25" t="n">
        <v>100</v>
      </c>
      <c r="H81" s="25" t="n">
        <v>1</v>
      </c>
      <c r="I81" s="25" t="n">
        <v>1.4</v>
      </c>
      <c r="J81" s="12" t="n">
        <v>59.6</v>
      </c>
      <c r="K81" s="26" t="n">
        <v>60</v>
      </c>
      <c r="L81" s="24" t="inlineStr">
        <is>
          <t>CarbonWARM2 display factor</t>
        </is>
      </c>
    </row>
    <row r="82">
      <c r="A82" s="27" t="inlineStr">
        <is>
          <t>WEEE</t>
        </is>
      </c>
      <c r="B82" s="27" t="inlineStr">
        <is>
          <t>Consumer electronics</t>
        </is>
      </c>
      <c r="C82" s="27" t="inlineStr">
        <is>
          <t>TV — 55-inch</t>
        </is>
      </c>
      <c r="D82" s="28" t="n">
        <v>15</v>
      </c>
      <c r="E82" s="28" t="n">
        <v>10</v>
      </c>
      <c r="F82" s="28" t="n">
        <v>0.1</v>
      </c>
      <c r="G82" s="28" t="n">
        <v>150</v>
      </c>
      <c r="H82" s="28" t="n">
        <v>1.5</v>
      </c>
      <c r="I82" s="28" t="n">
        <v>1.4</v>
      </c>
      <c r="J82" s="29" t="n">
        <v>90.09999999999999</v>
      </c>
      <c r="K82" s="30" t="n">
        <v>90</v>
      </c>
      <c r="L82" s="27" t="inlineStr">
        <is>
          <t>CarbonWARM2 display factor</t>
        </is>
      </c>
    </row>
    <row r="83">
      <c r="A83" s="24" t="inlineStr">
        <is>
          <t>WEEE</t>
        </is>
      </c>
      <c r="B83" s="24" t="inlineStr">
        <is>
          <t>Consumer electronics</t>
        </is>
      </c>
      <c r="C83" s="24" t="inlineStr">
        <is>
          <t>TV — 65-inch+</t>
        </is>
      </c>
      <c r="D83" s="25" t="n">
        <v>22</v>
      </c>
      <c r="E83" s="25" t="n">
        <v>10</v>
      </c>
      <c r="F83" s="25" t="n">
        <v>0.1</v>
      </c>
      <c r="G83" s="25" t="n">
        <v>220</v>
      </c>
      <c r="H83" s="25" t="n">
        <v>2.2</v>
      </c>
      <c r="I83" s="25" t="n">
        <v>1.4</v>
      </c>
      <c r="J83" s="12" t="n">
        <v>132.8</v>
      </c>
      <c r="K83" s="26" t="n">
        <v>133</v>
      </c>
      <c r="L83" s="24" t="inlineStr">
        <is>
          <t>Large display</t>
        </is>
      </c>
    </row>
    <row r="84">
      <c r="A84" s="27" t="inlineStr">
        <is>
          <t>WEEE</t>
        </is>
      </c>
      <c r="B84" s="27" t="inlineStr">
        <is>
          <t>Consumer electronics</t>
        </is>
      </c>
      <c r="C84" s="27" t="inlineStr">
        <is>
          <t>Soundbar</t>
        </is>
      </c>
      <c r="D84" s="28" t="n">
        <v>3</v>
      </c>
      <c r="E84" s="28" t="n">
        <v>7</v>
      </c>
      <c r="F84" s="28" t="n">
        <v>0.1</v>
      </c>
      <c r="G84" s="28" t="n">
        <v>21</v>
      </c>
      <c r="H84" s="28" t="n">
        <v>0.3</v>
      </c>
      <c r="I84" s="28" t="n">
        <v>1.4</v>
      </c>
      <c r="J84" s="29" t="n">
        <v>11.5</v>
      </c>
      <c r="K84" s="30" t="n">
        <v>12</v>
      </c>
      <c r="L84" s="27" t="inlineStr">
        <is>
          <t>Audio unit</t>
        </is>
      </c>
    </row>
    <row r="85">
      <c r="A85" s="24" t="inlineStr">
        <is>
          <t>WEEE</t>
        </is>
      </c>
      <c r="B85" s="24" t="inlineStr">
        <is>
          <t>Consumer electronics</t>
        </is>
      </c>
      <c r="C85" s="24" t="inlineStr">
        <is>
          <t>Hi-fi / stereo system</t>
        </is>
      </c>
      <c r="D85" s="25" t="n">
        <v>8</v>
      </c>
      <c r="E85" s="25" t="n">
        <v>6.5</v>
      </c>
      <c r="F85" s="25" t="n">
        <v>0.1</v>
      </c>
      <c r="G85" s="25" t="n">
        <v>52</v>
      </c>
      <c r="H85" s="25" t="n">
        <v>0.8</v>
      </c>
      <c r="I85" s="25" t="n">
        <v>1.4</v>
      </c>
      <c r="J85" s="12" t="n">
        <v>30.6</v>
      </c>
      <c r="K85" s="26" t="n">
        <v>31</v>
      </c>
      <c r="L85" s="24" t="inlineStr">
        <is>
          <t>Multi-component audio</t>
        </is>
      </c>
    </row>
    <row r="86">
      <c r="A86" s="27" t="inlineStr">
        <is>
          <t>WEEE</t>
        </is>
      </c>
      <c r="B86" s="27" t="inlineStr">
        <is>
          <t>Consumer electronics</t>
        </is>
      </c>
      <c r="C86" s="27" t="inlineStr">
        <is>
          <t>Bluetooth speaker</t>
        </is>
      </c>
      <c r="D86" s="28" t="n">
        <v>1</v>
      </c>
      <c r="E86" s="28" t="n">
        <v>8</v>
      </c>
      <c r="F86" s="28" t="n">
        <v>0.1</v>
      </c>
      <c r="G86" s="28" t="n">
        <v>8</v>
      </c>
      <c r="H86" s="28" t="n">
        <v>0.1</v>
      </c>
      <c r="I86" s="28" t="n">
        <v>1.4</v>
      </c>
      <c r="J86" s="29" t="n">
        <v>3.5</v>
      </c>
      <c r="K86" s="30" t="n">
        <v>4</v>
      </c>
      <c r="L86" s="27" t="inlineStr">
        <is>
          <t>Small electronic</t>
        </is>
      </c>
    </row>
    <row r="87">
      <c r="A87" s="24" t="inlineStr">
        <is>
          <t>WEEE</t>
        </is>
      </c>
      <c r="B87" s="24" t="inlineStr">
        <is>
          <t>Consumer electronics</t>
        </is>
      </c>
      <c r="C87" s="24" t="inlineStr">
        <is>
          <t>Games console</t>
        </is>
      </c>
      <c r="D87" s="25" t="n">
        <v>3</v>
      </c>
      <c r="E87" s="25" t="n">
        <v>9</v>
      </c>
      <c r="F87" s="25" t="n">
        <v>0.1</v>
      </c>
      <c r="G87" s="25" t="n">
        <v>27</v>
      </c>
      <c r="H87" s="25" t="n">
        <v>0.3</v>
      </c>
      <c r="I87" s="25" t="n">
        <v>1.4</v>
      </c>
      <c r="J87" s="12" t="n">
        <v>15.1</v>
      </c>
      <c r="K87" s="26" t="n">
        <v>15</v>
      </c>
      <c r="L87" s="24" t="inlineStr">
        <is>
          <t>PlayStation/Xbox/similar</t>
        </is>
      </c>
    </row>
    <row r="88">
      <c r="A88" s="27" t="inlineStr">
        <is>
          <t>WEEE</t>
        </is>
      </c>
      <c r="B88" s="27" t="inlineStr">
        <is>
          <t>Consumer electronics</t>
        </is>
      </c>
      <c r="C88" s="27" t="inlineStr">
        <is>
          <t>DVD / Blu-ray player</t>
        </is>
      </c>
      <c r="D88" s="28" t="n">
        <v>2</v>
      </c>
      <c r="E88" s="28" t="n">
        <v>6</v>
      </c>
      <c r="F88" s="28" t="n">
        <v>0.1</v>
      </c>
      <c r="G88" s="28" t="n">
        <v>12</v>
      </c>
      <c r="H88" s="28" t="n">
        <v>0.2</v>
      </c>
      <c r="I88" s="28" t="n">
        <v>1.4</v>
      </c>
      <c r="J88" s="29" t="n">
        <v>6</v>
      </c>
      <c r="K88" s="30" t="n">
        <v>6</v>
      </c>
      <c r="L88" s="27" t="inlineStr">
        <is>
          <t>Disc player</t>
        </is>
      </c>
    </row>
    <row r="89">
      <c r="A89" s="24" t="inlineStr">
        <is>
          <t>WEEE</t>
        </is>
      </c>
      <c r="B89" s="24" t="inlineStr">
        <is>
          <t>Consumer electronics</t>
        </is>
      </c>
      <c r="C89" s="24" t="inlineStr">
        <is>
          <t>Projector</t>
        </is>
      </c>
      <c r="D89" s="25" t="n">
        <v>3</v>
      </c>
      <c r="E89" s="25" t="n">
        <v>8</v>
      </c>
      <c r="F89" s="25" t="n">
        <v>0.1</v>
      </c>
      <c r="G89" s="25" t="n">
        <v>24</v>
      </c>
      <c r="H89" s="25" t="n">
        <v>0.3</v>
      </c>
      <c r="I89" s="25" t="n">
        <v>1.4</v>
      </c>
      <c r="J89" s="12" t="n">
        <v>13.3</v>
      </c>
      <c r="K89" s="26" t="n">
        <v>13</v>
      </c>
      <c r="L89" s="24" t="inlineStr">
        <is>
          <t>Home cinema projector</t>
        </is>
      </c>
    </row>
    <row r="90">
      <c r="A90" s="27" t="inlineStr">
        <is>
          <t>WEEE</t>
        </is>
      </c>
      <c r="B90" s="27" t="inlineStr">
        <is>
          <t>Consumer electronics</t>
        </is>
      </c>
      <c r="C90" s="27" t="inlineStr">
        <is>
          <t>Camera — digital</t>
        </is>
      </c>
      <c r="D90" s="28" t="n">
        <v>0.5</v>
      </c>
      <c r="E90" s="28" t="n">
        <v>15</v>
      </c>
      <c r="F90" s="28" t="n">
        <v>0.1</v>
      </c>
      <c r="G90" s="28" t="n">
        <v>7.5</v>
      </c>
      <c r="H90" s="28" t="n">
        <v>0.1</v>
      </c>
      <c r="I90" s="28" t="n">
        <v>1.4</v>
      </c>
      <c r="J90" s="29" t="n">
        <v>3.1</v>
      </c>
      <c r="K90" s="30" t="n">
        <v>3</v>
      </c>
      <c r="L90" s="27" t="inlineStr">
        <is>
          <t>Standalone camera</t>
        </is>
      </c>
    </row>
    <row r="91">
      <c r="A91" s="24" t="inlineStr">
        <is>
          <t>WEEE</t>
        </is>
      </c>
      <c r="B91" s="24" t="inlineStr">
        <is>
          <t>Lighting</t>
        </is>
      </c>
      <c r="C91" s="24" t="inlineStr">
        <is>
          <t>Floor lamp</t>
        </is>
      </c>
      <c r="D91" s="25" t="n">
        <v>4</v>
      </c>
      <c r="E91" s="25" t="n">
        <v>3</v>
      </c>
      <c r="F91" s="25" t="n">
        <v>0.4</v>
      </c>
      <c r="G91" s="25" t="n">
        <v>12</v>
      </c>
      <c r="H91" s="25" t="n">
        <v>1.6</v>
      </c>
      <c r="I91" s="25" t="n">
        <v>1.4</v>
      </c>
      <c r="J91" s="12" t="n">
        <v>7.4</v>
      </c>
      <c r="K91" s="26" t="n">
        <v>7</v>
      </c>
      <c r="L91" s="24" t="inlineStr">
        <is>
          <t>Mixed materials</t>
        </is>
      </c>
    </row>
    <row r="92">
      <c r="A92" s="27" t="inlineStr">
        <is>
          <t>WEEE</t>
        </is>
      </c>
      <c r="B92" s="27" t="inlineStr">
        <is>
          <t>Lighting</t>
        </is>
      </c>
      <c r="C92" s="27" t="inlineStr">
        <is>
          <t>Table lamp</t>
        </is>
      </c>
      <c r="D92" s="28" t="n">
        <v>2</v>
      </c>
      <c r="E92" s="28" t="n">
        <v>3</v>
      </c>
      <c r="F92" s="28" t="n">
        <v>0.4</v>
      </c>
      <c r="G92" s="28" t="n">
        <v>6</v>
      </c>
      <c r="H92" s="28" t="n">
        <v>0.8</v>
      </c>
      <c r="I92" s="28" t="n">
        <v>1.4</v>
      </c>
      <c r="J92" s="29" t="n">
        <v>3</v>
      </c>
      <c r="K92" s="30" t="n">
        <v>3</v>
      </c>
      <c r="L92" s="27" t="inlineStr">
        <is>
          <t>Small desk/bedside</t>
        </is>
      </c>
    </row>
    <row r="93">
      <c r="A93" s="24" t="inlineStr">
        <is>
          <t>WEEE</t>
        </is>
      </c>
      <c r="B93" s="24" t="inlineStr">
        <is>
          <t>Lighting</t>
        </is>
      </c>
      <c r="C93" s="24" t="inlineStr">
        <is>
          <t>Ceiling light / chandelier</t>
        </is>
      </c>
      <c r="D93" s="25" t="n">
        <v>5</v>
      </c>
      <c r="E93" s="25" t="n">
        <v>3.5</v>
      </c>
      <c r="F93" s="25" t="n">
        <v>0.4</v>
      </c>
      <c r="G93" s="25" t="n">
        <v>17.5</v>
      </c>
      <c r="H93" s="25" t="n">
        <v>2</v>
      </c>
      <c r="I93" s="25" t="n">
        <v>1.4</v>
      </c>
      <c r="J93" s="12" t="n">
        <v>11.1</v>
      </c>
      <c r="K93" s="26" t="n">
        <v>11</v>
      </c>
      <c r="L93" s="24" t="inlineStr">
        <is>
          <t>Pendant or chandelier</t>
        </is>
      </c>
    </row>
    <row r="94">
      <c r="A94" s="27" t="inlineStr">
        <is>
          <t>WEEE</t>
        </is>
      </c>
      <c r="B94" s="27" t="inlineStr">
        <is>
          <t>Lighting</t>
        </is>
      </c>
      <c r="C94" s="27" t="inlineStr">
        <is>
          <t>LED strip / smart lighting</t>
        </is>
      </c>
      <c r="D94" s="28" t="n">
        <v>1</v>
      </c>
      <c r="E94" s="28" t="n">
        <v>5</v>
      </c>
      <c r="F94" s="28" t="n">
        <v>0.2</v>
      </c>
      <c r="G94" s="28" t="n">
        <v>5</v>
      </c>
      <c r="H94" s="28" t="n">
        <v>0.2</v>
      </c>
      <c r="I94" s="28" t="n">
        <v>1.4</v>
      </c>
      <c r="J94" s="29" t="n">
        <v>1.8</v>
      </c>
      <c r="K94" s="30" t="n">
        <v>2</v>
      </c>
      <c r="L94" s="27" t="inlineStr">
        <is>
          <t>Electronic components</t>
        </is>
      </c>
    </row>
    <row r="95">
      <c r="A95" s="24" t="inlineStr">
        <is>
          <t>WEEE</t>
        </is>
      </c>
      <c r="B95" s="24" t="inlineStr">
        <is>
          <t>Power tools</t>
        </is>
      </c>
      <c r="C95" s="24" t="inlineStr">
        <is>
          <t>Power drill</t>
        </is>
      </c>
      <c r="D95" s="25" t="n">
        <v>2</v>
      </c>
      <c r="E95" s="25" t="n">
        <v>8</v>
      </c>
      <c r="F95" s="25" t="n">
        <v>0.1</v>
      </c>
      <c r="G95" s="25" t="n">
        <v>16</v>
      </c>
      <c r="H95" s="25" t="n">
        <v>0.2</v>
      </c>
      <c r="I95" s="25" t="n">
        <v>1.4</v>
      </c>
      <c r="J95" s="12" t="n">
        <v>8.4</v>
      </c>
      <c r="K95" s="26" t="n">
        <v>8</v>
      </c>
      <c r="L95" s="24" t="inlineStr">
        <is>
          <t>Cordless or corded</t>
        </is>
      </c>
    </row>
    <row r="96">
      <c r="A96" s="27" t="inlineStr">
        <is>
          <t>WEEE</t>
        </is>
      </c>
      <c r="B96" s="27" t="inlineStr">
        <is>
          <t>Power tools</t>
        </is>
      </c>
      <c r="C96" s="27" t="inlineStr">
        <is>
          <t>Circular saw</t>
        </is>
      </c>
      <c r="D96" s="28" t="n">
        <v>4</v>
      </c>
      <c r="E96" s="28" t="n">
        <v>7.5</v>
      </c>
      <c r="F96" s="28" t="n">
        <v>0.1</v>
      </c>
      <c r="G96" s="28" t="n">
        <v>30</v>
      </c>
      <c r="H96" s="28" t="n">
        <v>0.4</v>
      </c>
      <c r="I96" s="28" t="n">
        <v>1.4</v>
      </c>
      <c r="J96" s="29" t="n">
        <v>17</v>
      </c>
      <c r="K96" s="30" t="n">
        <v>17</v>
      </c>
      <c r="L96" s="27" t="inlineStr">
        <is>
          <t>Power tool</t>
        </is>
      </c>
    </row>
    <row r="97">
      <c r="A97" s="24" t="inlineStr">
        <is>
          <t>WEEE</t>
        </is>
      </c>
      <c r="B97" s="24" t="inlineStr">
        <is>
          <t>Power tools</t>
        </is>
      </c>
      <c r="C97" s="24" t="inlineStr">
        <is>
          <t>Lawn mower — electric</t>
        </is>
      </c>
      <c r="D97" s="25" t="n">
        <v>15</v>
      </c>
      <c r="E97" s="25" t="n">
        <v>5</v>
      </c>
      <c r="F97" s="25" t="n">
        <v>0.1</v>
      </c>
      <c r="G97" s="25" t="n">
        <v>75</v>
      </c>
      <c r="H97" s="25" t="n">
        <v>1.5</v>
      </c>
      <c r="I97" s="25" t="n">
        <v>1.4</v>
      </c>
      <c r="J97" s="12" t="n">
        <v>45.1</v>
      </c>
      <c r="K97" s="26" t="n">
        <v>45</v>
      </c>
      <c r="L97" s="24" t="inlineStr">
        <is>
          <t>Mains or battery</t>
        </is>
      </c>
    </row>
    <row r="98">
      <c r="A98" s="27" t="inlineStr">
        <is>
          <t>WEEE</t>
        </is>
      </c>
      <c r="B98" s="27" t="inlineStr">
        <is>
          <t>Power tools</t>
        </is>
      </c>
      <c r="C98" s="27" t="inlineStr">
        <is>
          <t>Hedge trimmer</t>
        </is>
      </c>
      <c r="D98" s="28" t="n">
        <v>4</v>
      </c>
      <c r="E98" s="28" t="n">
        <v>6.5</v>
      </c>
      <c r="F98" s="28" t="n">
        <v>0.1</v>
      </c>
      <c r="G98" s="28" t="n">
        <v>26</v>
      </c>
      <c r="H98" s="28" t="n">
        <v>0.4</v>
      </c>
      <c r="I98" s="28" t="n">
        <v>1.4</v>
      </c>
      <c r="J98" s="29" t="n">
        <v>14.6</v>
      </c>
      <c r="K98" s="30" t="n">
        <v>15</v>
      </c>
      <c r="L98" s="27" t="inlineStr">
        <is>
          <t>Power garden tool</t>
        </is>
      </c>
    </row>
    <row r="99">
      <c r="A99" s="24" t="inlineStr">
        <is>
          <t>WEEE</t>
        </is>
      </c>
      <c r="B99" s="24" t="inlineStr">
        <is>
          <t>Power tools</t>
        </is>
      </c>
      <c r="C99" s="24" t="inlineStr">
        <is>
          <t>Pressure washer</t>
        </is>
      </c>
      <c r="D99" s="25" t="n">
        <v>12</v>
      </c>
      <c r="E99" s="25" t="n">
        <v>5.5</v>
      </c>
      <c r="F99" s="25" t="n">
        <v>0.1</v>
      </c>
      <c r="G99" s="25" t="n">
        <v>66</v>
      </c>
      <c r="H99" s="25" t="n">
        <v>1.2</v>
      </c>
      <c r="I99" s="25" t="n">
        <v>1.4</v>
      </c>
      <c r="J99" s="12" t="n">
        <v>39.4</v>
      </c>
      <c r="K99" s="26" t="n">
        <v>39</v>
      </c>
      <c r="L99" s="24" t="inlineStr">
        <is>
          <t>Domestic unit</t>
        </is>
      </c>
    </row>
    <row r="100">
      <c r="A100" s="27" t="inlineStr">
        <is>
          <t>Bulky</t>
        </is>
      </c>
      <c r="B100" s="27" t="inlineStr">
        <is>
          <t>Other</t>
        </is>
      </c>
      <c r="C100" s="27" t="inlineStr">
        <is>
          <t>Carpet / rug — large</t>
        </is>
      </c>
      <c r="D100" s="28" t="n">
        <v>15</v>
      </c>
      <c r="E100" s="28" t="n">
        <v>3.5</v>
      </c>
      <c r="F100" s="28" t="n">
        <v>0.497</v>
      </c>
      <c r="G100" s="28" t="n">
        <v>52.5</v>
      </c>
      <c r="H100" s="28" t="n">
        <v>7.5</v>
      </c>
      <c r="I100" s="28" t="n">
        <v>1.4</v>
      </c>
      <c r="J100" s="29" t="n">
        <v>37.6</v>
      </c>
      <c r="K100" s="30" t="n">
        <v>38</v>
      </c>
      <c r="L100" s="27" t="inlineStr">
        <is>
          <t>WRAP textile factor for floor coverings</t>
        </is>
      </c>
    </row>
    <row r="101">
      <c r="A101" s="24" t="inlineStr">
        <is>
          <t>Bulky</t>
        </is>
      </c>
      <c r="B101" s="24" t="inlineStr">
        <is>
          <t>Other</t>
        </is>
      </c>
      <c r="C101" s="24" t="inlineStr">
        <is>
          <t>Exercise bike</t>
        </is>
      </c>
      <c r="D101" s="25" t="n">
        <v>30</v>
      </c>
      <c r="E101" s="25" t="n">
        <v>5</v>
      </c>
      <c r="F101" s="25" t="n">
        <v>0.2</v>
      </c>
      <c r="G101" s="25" t="n">
        <v>150</v>
      </c>
      <c r="H101" s="25" t="n">
        <v>6</v>
      </c>
      <c r="I101" s="25" t="n">
        <v>1.4</v>
      </c>
      <c r="J101" s="12" t="n">
        <v>94.59999999999999</v>
      </c>
      <c r="K101" s="26" t="n">
        <v>95</v>
      </c>
      <c r="L101" s="24" t="inlineStr">
        <is>
          <t>Home gym equipment</t>
        </is>
      </c>
    </row>
    <row r="102">
      <c r="A102" s="27" t="inlineStr">
        <is>
          <t>Bulky</t>
        </is>
      </c>
      <c r="B102" s="27" t="inlineStr">
        <is>
          <t>Other</t>
        </is>
      </c>
      <c r="C102" s="27" t="inlineStr">
        <is>
          <t>Treadmill</t>
        </is>
      </c>
      <c r="D102" s="28" t="n">
        <v>60</v>
      </c>
      <c r="E102" s="28" t="n">
        <v>4.5</v>
      </c>
      <c r="F102" s="28" t="n">
        <v>0.2</v>
      </c>
      <c r="G102" s="28" t="n">
        <v>270</v>
      </c>
      <c r="H102" s="28" t="n">
        <v>12</v>
      </c>
      <c r="I102" s="28" t="n">
        <v>1.4</v>
      </c>
      <c r="J102" s="29" t="n">
        <v>172.6</v>
      </c>
      <c r="K102" s="30" t="n">
        <v>173</v>
      </c>
      <c r="L102" s="27" t="inlineStr">
        <is>
          <t>Motorised — part WEEE</t>
        </is>
      </c>
    </row>
    <row r="103">
      <c r="A103" s="24" t="inlineStr">
        <is>
          <t>Bulky</t>
        </is>
      </c>
      <c r="B103" s="24" t="inlineStr">
        <is>
          <t>Other</t>
        </is>
      </c>
      <c r="C103" s="24" t="inlineStr">
        <is>
          <t>Weights bench</t>
        </is>
      </c>
      <c r="D103" s="25" t="n">
        <v>25</v>
      </c>
      <c r="E103" s="25" t="n">
        <v>4</v>
      </c>
      <c r="F103" s="25" t="n">
        <v>0.2</v>
      </c>
      <c r="G103" s="25" t="n">
        <v>100</v>
      </c>
      <c r="H103" s="25" t="n">
        <v>5</v>
      </c>
      <c r="I103" s="25" t="n">
        <v>1.4</v>
      </c>
      <c r="J103" s="12" t="n">
        <v>63.6</v>
      </c>
      <c r="K103" s="26" t="n">
        <v>64</v>
      </c>
      <c r="L103" s="24" t="inlineStr">
        <is>
          <t>Mixed metal/upholstery</t>
        </is>
      </c>
    </row>
    <row r="104">
      <c r="A104" s="27" t="inlineStr">
        <is>
          <t>Bulky</t>
        </is>
      </c>
      <c r="B104" s="27" t="inlineStr">
        <is>
          <t>Other</t>
        </is>
      </c>
      <c r="C104" s="27" t="inlineStr">
        <is>
          <t>Bicycle</t>
        </is>
      </c>
      <c r="D104" s="28" t="n">
        <v>12</v>
      </c>
      <c r="E104" s="28" t="n">
        <v>4.5</v>
      </c>
      <c r="F104" s="28" t="n">
        <v>0.3</v>
      </c>
      <c r="G104" s="28" t="n">
        <v>54</v>
      </c>
      <c r="H104" s="28" t="n">
        <v>3.6</v>
      </c>
      <c r="I104" s="28" t="n">
        <v>1.4</v>
      </c>
      <c r="J104" s="29" t="n">
        <v>34.6</v>
      </c>
      <c r="K104" s="30" t="n">
        <v>35</v>
      </c>
      <c r="L104" s="27" t="inlineStr">
        <is>
          <t>Adult bike</t>
        </is>
      </c>
    </row>
    <row r="105">
      <c r="A105" s="24" t="inlineStr">
        <is>
          <t>Bulky</t>
        </is>
      </c>
      <c r="B105" s="24" t="inlineStr">
        <is>
          <t>Other</t>
        </is>
      </c>
      <c r="C105" s="24" t="inlineStr">
        <is>
          <t>Pram / pushchair</t>
        </is>
      </c>
      <c r="D105" s="25" t="n">
        <v>10</v>
      </c>
      <c r="E105" s="25" t="n">
        <v>5</v>
      </c>
      <c r="F105" s="25" t="n">
        <v>0.3</v>
      </c>
      <c r="G105" s="25" t="n">
        <v>50</v>
      </c>
      <c r="H105" s="25" t="n">
        <v>3</v>
      </c>
      <c r="I105" s="25" t="n">
        <v>1.4</v>
      </c>
      <c r="J105" s="12" t="n">
        <v>31.6</v>
      </c>
      <c r="K105" s="26" t="n">
        <v>32</v>
      </c>
      <c r="L105" s="24" t="inlineStr">
        <is>
          <t>Child transport</t>
        </is>
      </c>
    </row>
    <row r="106">
      <c r="A106" s="27" t="inlineStr">
        <is>
          <t>Bulky</t>
        </is>
      </c>
      <c r="B106" s="27" t="inlineStr">
        <is>
          <t>Other</t>
        </is>
      </c>
      <c r="C106" s="27" t="inlineStr">
        <is>
          <t>High chair</t>
        </is>
      </c>
      <c r="D106" s="28" t="n">
        <v>6</v>
      </c>
      <c r="E106" s="28" t="n">
        <v>3.5</v>
      </c>
      <c r="F106" s="28" t="n">
        <v>0.4</v>
      </c>
      <c r="G106" s="28" t="n">
        <v>21</v>
      </c>
      <c r="H106" s="28" t="n">
        <v>2.4</v>
      </c>
      <c r="I106" s="28" t="n">
        <v>1.4</v>
      </c>
      <c r="J106" s="29" t="n">
        <v>13.6</v>
      </c>
      <c r="K106" s="30" t="n">
        <v>14</v>
      </c>
      <c r="L106" s="27" t="inlineStr">
        <is>
          <t>Child seating</t>
        </is>
      </c>
    </row>
    <row r="107">
      <c r="A107" s="24" t="inlineStr">
        <is>
          <t>Bulky</t>
        </is>
      </c>
      <c r="B107" s="24" t="inlineStr">
        <is>
          <t>Other</t>
        </is>
      </c>
      <c r="C107" s="24" t="inlineStr">
        <is>
          <t>Garden furniture — table</t>
        </is>
      </c>
      <c r="D107" s="25" t="n">
        <v>20</v>
      </c>
      <c r="E107" s="25" t="n">
        <v>2</v>
      </c>
      <c r="F107" s="25" t="n">
        <v>0.925</v>
      </c>
      <c r="G107" s="25" t="n">
        <v>40</v>
      </c>
      <c r="H107" s="25" t="n">
        <v>18.5</v>
      </c>
      <c r="I107" s="25" t="n">
        <v>1.4</v>
      </c>
      <c r="J107" s="12" t="n">
        <v>41.1</v>
      </c>
      <c r="K107" s="26" t="n">
        <v>41</v>
      </c>
      <c r="L107" s="24" t="inlineStr">
        <is>
          <t>Wooden/metal outdoor</t>
        </is>
      </c>
    </row>
    <row r="108">
      <c r="A108" s="27" t="inlineStr">
        <is>
          <t>Bulky</t>
        </is>
      </c>
      <c r="B108" s="27" t="inlineStr">
        <is>
          <t>Other</t>
        </is>
      </c>
      <c r="C108" s="27" t="inlineStr">
        <is>
          <t>Garden furniture — chair</t>
        </is>
      </c>
      <c r="D108" s="28" t="n">
        <v>5</v>
      </c>
      <c r="E108" s="28" t="n">
        <v>2</v>
      </c>
      <c r="F108" s="28" t="n">
        <v>0.925</v>
      </c>
      <c r="G108" s="28" t="n">
        <v>10</v>
      </c>
      <c r="H108" s="28" t="n">
        <v>4.6</v>
      </c>
      <c r="I108" s="28" t="n">
        <v>1.4</v>
      </c>
      <c r="J108" s="29" t="n">
        <v>9.199999999999999</v>
      </c>
      <c r="K108" s="30" t="n">
        <v>9</v>
      </c>
      <c r="L108" s="27" t="inlineStr">
        <is>
          <t>Wooden/metal outdoor</t>
        </is>
      </c>
    </row>
    <row r="109">
      <c r="A109" s="24" t="inlineStr">
        <is>
          <t>Bulky</t>
        </is>
      </c>
      <c r="B109" s="24" t="inlineStr">
        <is>
          <t>Other</t>
        </is>
      </c>
      <c r="C109" s="24" t="inlineStr">
        <is>
          <t>BBQ — gas</t>
        </is>
      </c>
      <c r="D109" s="25" t="n">
        <v>25</v>
      </c>
      <c r="E109" s="25" t="n">
        <v>4.5</v>
      </c>
      <c r="F109" s="25" t="n">
        <v>0.05</v>
      </c>
      <c r="G109" s="25" t="n">
        <v>112.5</v>
      </c>
      <c r="H109" s="25" t="n">
        <v>1.2</v>
      </c>
      <c r="I109" s="25" t="n">
        <v>1.4</v>
      </c>
      <c r="J109" s="12" t="n">
        <v>67.3</v>
      </c>
      <c r="K109" s="26" t="n">
        <v>67</v>
      </c>
      <c r="L109" s="24" t="inlineStr">
        <is>
          <t>Metal-heavy, mostly recyclable</t>
        </is>
      </c>
    </row>
    <row r="110">
      <c r="A110" s="27" t="inlineStr">
        <is>
          <t>Bulky</t>
        </is>
      </c>
      <c r="B110" s="27" t="inlineStr">
        <is>
          <t>Other</t>
        </is>
      </c>
      <c r="C110" s="27" t="inlineStr">
        <is>
          <t>BBQ — charcoal</t>
        </is>
      </c>
      <c r="D110" s="28" t="n">
        <v>12</v>
      </c>
      <c r="E110" s="28" t="n">
        <v>4</v>
      </c>
      <c r="F110" s="28" t="n">
        <v>0.05</v>
      </c>
      <c r="G110" s="28" t="n">
        <v>48</v>
      </c>
      <c r="H110" s="28" t="n">
        <v>0.6</v>
      </c>
      <c r="I110" s="28" t="n">
        <v>1.4</v>
      </c>
      <c r="J110" s="29" t="n">
        <v>28</v>
      </c>
      <c r="K110" s="30" t="n">
        <v>28</v>
      </c>
      <c r="L110" s="27" t="inlineStr">
        <is>
          <t>Smaller metal unit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00" customWidth="1" min="1" max="1"/>
    <col width="5" customWidth="1" min="2" max="2"/>
  </cols>
  <sheetData>
    <row r="1" ht="28" customHeight="1">
      <c r="A1" s="23" t="inlineStr">
        <is>
          <t>Calculation Methodology</t>
        </is>
      </c>
    </row>
    <row r="2">
      <c r="A2" s="31" t="inlineStr"/>
    </row>
    <row r="3">
      <c r="A3" s="32" t="inlineStr">
        <is>
          <t>THE CORE FORMULA</t>
        </is>
      </c>
    </row>
    <row r="4">
      <c r="A4" s="31" t="inlineStr"/>
    </row>
    <row r="5">
      <c r="A5" s="33" t="inlineStr">
        <is>
          <t>Net CO2e saved =</t>
        </is>
      </c>
    </row>
    <row r="6">
      <c r="A6" s="31" t="inlineStr">
        <is>
          <t xml:space="preserve">  (Embodied carbon avoided × weight × substitution rate)</t>
        </is>
      </c>
    </row>
    <row r="7">
      <c r="A7" s="31" t="inlineStr">
        <is>
          <t xml:space="preserve">  + (Landfill emissions avoided × weight)</t>
        </is>
      </c>
    </row>
    <row r="8">
      <c r="A8" s="31" t="inlineStr">
        <is>
          <t xml:space="preserve">  − (Collection and transport emissions)</t>
        </is>
      </c>
    </row>
    <row r="9">
      <c r="A9" s="31" t="inlineStr">
        <is>
          <t xml:space="preserve">  × (Action type multiplier)</t>
        </is>
      </c>
    </row>
    <row r="10">
      <c r="A10" s="31" t="inlineStr"/>
    </row>
    <row r="11">
      <c r="A11" s="32" t="inlineStr">
        <is>
          <t>COMPONENT 1 — EMBODIED CARBON AVOIDED</t>
        </is>
      </c>
    </row>
    <row r="12">
      <c r="A12" s="31" t="inlineStr"/>
    </row>
    <row r="13">
      <c r="A13" s="31" t="inlineStr">
        <is>
          <t>When someone rescues a second-hand item, they avoid the carbon cost of manufacturing a new one. This is the dominant source of savings, often 80–90% of the total.</t>
        </is>
      </c>
    </row>
    <row r="14">
      <c r="A14" s="34" t="inlineStr">
        <is>
          <t>Source: DEFRA/DESNZ 2025 GHG Conversion Factors (Material Use worksheet); FIRA 'Benchmarking Carbon Footprints of Furniture Products'; CarbonWARM2 for WEEE.</t>
        </is>
      </c>
    </row>
    <row r="15">
      <c r="A15" s="31" t="inlineStr"/>
    </row>
    <row r="16">
      <c r="A16" s="32" t="inlineStr">
        <is>
          <t>COMPONENT 2 — AVOIDED LANDFILL EMISSIONS</t>
        </is>
      </c>
    </row>
    <row r="17">
      <c r="A17" s="31" t="inlineStr"/>
    </row>
    <row r="18">
      <c r="A18" s="31" t="inlineStr">
        <is>
          <t>The item doesn't go to landfill, avoiding landfill methane and disposal emissions. Landfill factors from DEFRA 2025: wood 925 kg CO2e/tonne; textiles 497 kg CO2e/tonne; mixed 470 kg CO2e/tonne. Electronics mostly recyclable, so minimal landfill benefit.</t>
        </is>
      </c>
    </row>
    <row r="19">
      <c r="A19" s="31" t="inlineStr"/>
    </row>
    <row r="20">
      <c r="A20" s="32" t="inlineStr">
        <is>
          <t>COMPONENT 3 — OPERATIONAL EMISSIONS (SUBTRACTED)</t>
        </is>
      </c>
    </row>
    <row r="21">
      <c r="A21" s="31" t="inlineStr"/>
    </row>
    <row r="22">
      <c r="A22" s="31" t="inlineStr">
        <is>
          <t>Collection, transport, and any refurbishment carry their own emissions. Default: 1.4 kg CO2e per 5-mile van trip (DEFRA freight factor). Street discovery (Spot-and-report): zero collection emissions.</t>
        </is>
      </c>
    </row>
    <row r="23">
      <c r="A23" s="31" t="inlineStr"/>
    </row>
    <row r="24">
      <c r="A24" s="32" t="inlineStr">
        <is>
          <t>SUBSTITUTION RATE</t>
        </is>
      </c>
    </row>
    <row r="25">
      <c r="A25" s="31" t="inlineStr"/>
    </row>
    <row r="26">
      <c r="A26" s="31" t="inlineStr">
        <is>
          <t>Not every reused item replaces a new purchase. Peer-reviewed research shows rebound effects of 82–167% for furniture products (ScienceDirect 2025). A substitution rate of 0.6 is applied to keep numbers defensible and honest.</t>
        </is>
      </c>
    </row>
    <row r="27">
      <c r="A27" s="31" t="inlineStr"/>
    </row>
    <row r="28">
      <c r="A28" s="32" t="inlineStr">
        <is>
          <t>ACTION TYPE MULTIPLIERS</t>
        </is>
      </c>
    </row>
    <row r="29">
      <c r="A29" s="31" t="inlineStr"/>
    </row>
    <row r="30">
      <c r="A30" s="31" t="inlineStr">
        <is>
          <t>Full rescue (spot + collect + rehome): 100% — full saving</t>
        </is>
      </c>
    </row>
    <row r="31">
      <c r="A31" s="31" t="inlineStr">
        <is>
          <t>Donation only (item offered, awaiting claim): 30% — locked until rescued</t>
        </is>
      </c>
    </row>
    <row r="32">
      <c r="A32" s="31" t="inlineStr">
        <is>
          <t>Spot-and-report (fly-tipping diversion): 15% — council reporting value</t>
        </is>
      </c>
    </row>
    <row r="33">
      <c r="A33" s="31" t="inlineStr">
        <is>
          <t>Refurbishment: 85% — net of 2.5 kg CO2e reupholstery / 1 kg cleaning</t>
        </is>
      </c>
    </row>
    <row r="34">
      <c r="A34" s="31" t="inlineStr">
        <is>
          <t>Recycling only: 15% — small saving from material recovery</t>
        </is>
      </c>
    </row>
    <row r="35">
      <c r="A35" s="31" t="inlineStr"/>
    </row>
    <row r="36">
      <c r="A36" s="32" t="inlineStr">
        <is>
          <t>CARBON POINTS CONVERSION</t>
        </is>
      </c>
    </row>
    <row r="37">
      <c r="A37" s="31" t="inlineStr"/>
    </row>
    <row r="38">
      <c r="A38" s="31" t="inlineStr">
        <is>
          <t>1 kg CO2e saved = 1 carbon point. Transparent 1:1 ratio. Points are the user's actual contribution — no inflation, no manipulation.</t>
        </is>
      </c>
    </row>
    <row r="39">
      <c r="A39" s="31" t="inlineStr"/>
    </row>
    <row r="40">
      <c r="A40" s="32" t="inlineStr">
        <is>
          <t>BONUS LAYERS (on top of base calculation)</t>
        </is>
      </c>
    </row>
    <row r="41">
      <c r="A41" s="31" t="inlineStr"/>
    </row>
    <row r="42">
      <c r="A42" s="31" t="inlineStr">
        <is>
          <t>Spotter bonus: +10% for first to list an item</t>
        </is>
      </c>
    </row>
    <row r="43">
      <c r="A43" s="31" t="inlineStr">
        <is>
          <t>Rescuer bonus: +5% for pickup within 24 hours</t>
        </is>
      </c>
    </row>
    <row r="44">
      <c r="A44" s="31" t="inlineStr">
        <is>
          <t>Streak bonus: +5% after 3 items/month, +10% after 10</t>
        </is>
      </c>
    </row>
    <row r="45">
      <c r="A45" s="31" t="inlineStr">
        <is>
          <t>First-time user: 50-point welcome credit</t>
        </is>
      </c>
    </row>
    <row r="46">
      <c r="A46" s="31" t="inlineStr"/>
    </row>
    <row r="47">
      <c r="A47" s="32" t="inlineStr">
        <is>
          <t>SCOPE — MEDIUM TERM</t>
        </is>
      </c>
    </row>
    <row r="48">
      <c r="A48" s="31" t="inlineStr"/>
    </row>
    <row r="49">
      <c r="A49" s="31" t="inlineStr">
        <is>
          <t>TruCycle's carbon methodology covers bulky household items and WEEE only. Food waste, fashion/clothing, and general kerbside recycling are out of scope. This focus allows deeper accuracy per item type.</t>
        </is>
      </c>
    </row>
    <row r="50">
      <c r="A50" s="31" t="inlineStr"/>
    </row>
    <row r="51">
      <c r="A51" s="32" t="inlineStr">
        <is>
          <t>STANDARDS REFERENCED</t>
        </is>
      </c>
    </row>
    <row r="52">
      <c r="A52" s="31" t="inlineStr"/>
    </row>
    <row r="53">
      <c r="A53" s="31" t="inlineStr">
        <is>
          <t>DEFRA/DESNZ GHG Conversion Factors (2025 update)</t>
        </is>
      </c>
    </row>
    <row r="54">
      <c r="A54" s="31" t="inlineStr">
        <is>
          <t>WRAP CarbonWARM2 — Carbon Waste and Resources Metric v2</t>
        </is>
      </c>
    </row>
    <row r="55">
      <c r="A55" s="31" t="inlineStr">
        <is>
          <t>PAS 2050 — Cradle-to-gate product carbon footprint methodology</t>
        </is>
      </c>
    </row>
    <row r="56">
      <c r="A56" s="31" t="inlineStr">
        <is>
          <t>GHG Protocol Scope 3 Standard — Value chain accounting</t>
        </is>
      </c>
    </row>
    <row r="57">
      <c r="A57" s="31" t="inlineStr">
        <is>
          <t>FIRA Benchmarking Study — Furniture industry carbon data</t>
        </is>
      </c>
    </row>
    <row r="58">
      <c r="A58" s="31" t="inlineStr">
        <is>
          <t>ISO 14067 — Carbon footprint of products</t>
        </is>
      </c>
    </row>
  </sheetData>
  <mergeCells count="58">
    <mergeCell ref="A48:B48"/>
    <mergeCell ref="A24:B24"/>
    <mergeCell ref="A30:B30"/>
    <mergeCell ref="A15:B15"/>
    <mergeCell ref="A11:B11"/>
    <mergeCell ref="A49:B49"/>
    <mergeCell ref="A51:B51"/>
    <mergeCell ref="A45:B45"/>
    <mergeCell ref="A36:B36"/>
    <mergeCell ref="A1:B1"/>
    <mergeCell ref="A6:B6"/>
    <mergeCell ref="A16:B16"/>
    <mergeCell ref="A54:B54"/>
    <mergeCell ref="A7:B7"/>
    <mergeCell ref="A25:B25"/>
    <mergeCell ref="A41:B41"/>
    <mergeCell ref="A37:B37"/>
    <mergeCell ref="A46:B46"/>
    <mergeCell ref="A18:B18"/>
    <mergeCell ref="A27:B27"/>
    <mergeCell ref="A56:B56"/>
    <mergeCell ref="A3:B3"/>
    <mergeCell ref="A55:B55"/>
    <mergeCell ref="A12:B12"/>
    <mergeCell ref="A50:B50"/>
    <mergeCell ref="A26:B26"/>
    <mergeCell ref="A21:B21"/>
    <mergeCell ref="A2:B2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20:B20"/>
    <mergeCell ref="A38:B38"/>
    <mergeCell ref="A29:B29"/>
    <mergeCell ref="A52:B52"/>
    <mergeCell ref="A43:B43"/>
    <mergeCell ref="A19:B19"/>
    <mergeCell ref="A10:B10"/>
    <mergeCell ref="A28:B28"/>
    <mergeCell ref="A13:B13"/>
    <mergeCell ref="A44:B44"/>
    <mergeCell ref="A40:B40"/>
    <mergeCell ref="A9:B9"/>
    <mergeCell ref="A31:B31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2026-04-19T16:19:51Z</dcterms:created>
  <dcterms:modified xmlns:dcterms="http://purl.org/dc/terms/" xmlns:xsi="http://www.w3.org/2001/XMLSchema-instance" xsi:type="dcterms:W3CDTF">2026-04-19T16:19:52Z</dcterms:modified>
</cp:coreProperties>
</file>